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009e3ed297e2528/4 working papers/burundi_cge/"/>
    </mc:Choice>
  </mc:AlternateContent>
  <xr:revisionPtr revIDLastSave="0" documentId="8_{4E96EBB7-9596-454F-B116-5A065DBCCA6C}" xr6:coauthVersionLast="47" xr6:coauthVersionMax="47" xr10:uidLastSave="{00000000-0000-0000-0000-000000000000}"/>
  <bookViews>
    <workbookView xWindow="-103" yWindow="-103" windowWidth="22149" windowHeight="11829" activeTab="1" xr2:uid="{00000000-000D-0000-FFFF-FFFF00000000}"/>
  </bookViews>
  <sheets>
    <sheet name="README" sheetId="1" r:id="rId1"/>
    <sheet name="Inputs" sheetId="2" r:id="rId2"/>
    <sheet name="Targets" sheetId="3" r:id="rId3"/>
    <sheet name="Sectors" sheetId="4" r:id="rId4"/>
    <sheet name="Trad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2" l="1"/>
  <c r="L4" i="2"/>
  <c r="K4" i="2"/>
  <c r="J4" i="2"/>
  <c r="I4" i="2"/>
  <c r="H4" i="2"/>
  <c r="G4" i="2"/>
</calcChain>
</file>

<file path=xl/sharedStrings.xml><?xml version="1.0" encoding="utf-8"?>
<sst xmlns="http://schemas.openxmlformats.org/spreadsheetml/2006/main" count="826" uniqueCount="516">
  <si>
    <t>ID</t>
  </si>
  <si>
    <t>Variable</t>
  </si>
  <si>
    <t>Description</t>
  </si>
  <si>
    <t>Model parameter / variable</t>
  </si>
  <si>
    <t>Unit</t>
  </si>
  <si>
    <t>Priority</t>
  </si>
  <si>
    <t>2019</t>
  </si>
  <si>
    <t>2020</t>
  </si>
  <si>
    <t>2021</t>
  </si>
  <si>
    <t>2022</t>
  </si>
  <si>
    <t>2023</t>
  </si>
  <si>
    <t>2024</t>
  </si>
  <si>
    <t>2025</t>
  </si>
  <si>
    <t>Ideal source</t>
  </si>
  <si>
    <t>Source used</t>
  </si>
  <si>
    <t>Notes</t>
  </si>
  <si>
    <t>TG01</t>
  </si>
  <si>
    <t>Nominal GDP</t>
  </si>
  <si>
    <t>Current prices</t>
  </si>
  <si>
    <t>GDPMP</t>
  </si>
  <si>
    <t>BIF billions</t>
  </si>
  <si>
    <t>A</t>
  </si>
  <si>
    <t>ISTEEBU comptes nationaux; IMF WEO</t>
  </si>
  <si>
    <t>WDI API (data as of 13 Jul 2026): NY.GDP.MKTP.CN / 1e9 (rebased series)</t>
  </si>
  <si>
    <t>Rebased national accounts. MFMod old base (BIF bn): 2019: 5559.6, 2020: 5910.6, 2021: 6612.8, 2022: 7969.7, 2023: 9072.0, 2024: 10354.4, 2025: 12370.2. UNSD AMA (older rebased vintage): 2019: 6217.0, 2020: 6609.5, 2021: 7394.8, 2022: 8912.2, 2023: 10194.0, 2024: 12784.2. IMF CR 26/150: 2024 13,879; 2025 19,917. USD mn at official rate: 2019: 3357.2, 2020: 3713.8, 2021: 4129.5, 2022: 4717.9, 2023: 4583.5, 2024: 5048.9, 2025: 6099.8 (WDI USD GDP uses an alternative conversion factor: 2019: 2871.6, 2020: 3188.4, 2021: 3425.1, 2022: 4020.7, 2023: 3419.6, 2024: 3037.6, 2025: 3364.7). 2025 is an estimate/preliminary.</t>
  </si>
  <si>
    <t>TG02</t>
  </si>
  <si>
    <t>CPI inflation</t>
  </si>
  <si>
    <t>Annual average</t>
  </si>
  <si>
    <t>CPI growth</t>
  </si>
  <si>
    <t>%</t>
  </si>
  <si>
    <t>ISTEEBU IPC; IMF IFS</t>
  </si>
  <si>
    <t>WDI API (data as of 13 Jul 2026): FP.CPI.TOTL.ZG</t>
  </si>
  <si>
    <t>Annual average. MFMod: 2019: -0.8, 2020: 7.5, 2021: 8.3, 2022: 18.8, 2023: 27.1, 2024: 20.2, 2025: 34.0. 2025 is an estimate/preliminary.</t>
  </si>
  <si>
    <t>TG03</t>
  </si>
  <si>
    <t>Exports of goods</t>
  </si>
  <si>
    <t>BoP basis</t>
  </si>
  <si>
    <t>Σ PWE·QE</t>
  </si>
  <si>
    <t>USD millions</t>
  </si>
  <si>
    <t>BRB balance of payments; IMF BoP statistics</t>
  </si>
  <si>
    <t>WDI API (data as of 13 Jul 2026): BX.GSR.MRCH.CD / 1e6</t>
  </si>
  <si>
    <t>BoP goods exports, FOB. Customs (Comtrade, Burundi-reported) totals: 2019: 180.9, 2020: 161.4, 2021: 163.7, 2022: 207.9, 2023: 217.5. 2025 is an estimate/preliminary.</t>
  </si>
  <si>
    <t>TG04</t>
  </si>
  <si>
    <t>Exports of goods and services</t>
  </si>
  <si>
    <t>B</t>
  </si>
  <si>
    <t>BRB balance of payments</t>
  </si>
  <si>
    <t>WDI API (data as of 13 Jul 2026): BX.GSR.GNFS.CD / 1e6</t>
  </si>
  <si>
    <t>Services exports: 2019: 78.6, 2020: 85.5, 2021: 109.0, 2022: 89.0, 2023: 117.9, 2024: 121.0, 2025: 148.1. 2025 is an estimate/preliminary.</t>
  </si>
  <si>
    <t>TG05</t>
  </si>
  <si>
    <t>Imports of goods</t>
  </si>
  <si>
    <t>Σ PWM·QM</t>
  </si>
  <si>
    <t>WDI API (data as of 13 Jul 2026): BM.GSR.MRCH.CD / 1e6</t>
  </si>
  <si>
    <t>BoP goods imports, FOB. Customs (Comtrade, CIF) totals: 2019: 887.7, 2020: 909.8, 2021: 1025.0, 2022: 1260.5, 2023: 1182.3. 2025 is an estimate/preliminary.</t>
  </si>
  <si>
    <t>TG06</t>
  </si>
  <si>
    <t>Imports of goods and services</t>
  </si>
  <si>
    <t>WDI API (data as of 13 Jul 2026): BM.GSR.GNFS.CD / 1e6</t>
  </si>
  <si>
    <t>Services imports: 2019: 256.0, 2020: 241.3, 2021: 287.2, 2022: 349.0, 2023: 365.2, 2024: 361.0, 2025: 406.3. 2025 is an estimate/preliminary.</t>
  </si>
  <si>
    <t>TG07</t>
  </si>
  <si>
    <t>Current account balance</t>
  </si>
  <si>
    <t>Including grants</t>
  </si>
  <si>
    <t>SAVF (sign reversed)</t>
  </si>
  <si>
    <t>% of GDP</t>
  </si>
  <si>
    <t>BRB; IMF Article IV</t>
  </si>
  <si>
    <t>MFMod BDI datasheet 15-Sep-2026: BOP!BNCABFUNDCD in USD / rebased GDP at official rate</t>
  </si>
  <si>
    <t>CAB USD mn: 2019: -392.7, 2020: -346.9, 2021: -397.4, 2022: -621.6, 2023: -585.6, 2024: -414.3, 2025: -389.4. WDI BN.CAB.XOKA.GD.ZS (alternative conversion factor): 2019: -13.69, 2020: -10.86, 2021: -11.37, 2022: -15.30, 2023: -18.36, 2024: -15.64, 2025: -13.71. IMF CR 26/150: 2024 -8.6, 2025 -6.6. 2025 is an estimate/preliminary.</t>
  </si>
  <si>
    <t>TG08</t>
  </si>
  <si>
    <t>External public debt</t>
  </si>
  <si>
    <t>Government and guaranteed</t>
  </si>
  <si>
    <t>FDEBT('govz')</t>
  </si>
  <si>
    <t>IMF Article IV / DSA; World Bank IDS</t>
  </si>
  <si>
    <t>MFMod BDI datasheet 15-Sep-2026: FISCAL!GGDBTEXTLCN in USD / rebased GDP at official rate</t>
  </si>
  <si>
    <t>External public debt USD mn: 2019: 551, 2020: 548, 2021: 677, 2022: 781, 2023: 685, 2024: 773, 2025: 818. IDS PPG external debt (DT.DOD.DPPG.CD, USD mn): 2019: 479, 2020: 532, 2021: 576, 2022: 570, 2023: 598, 2024: 601; IDS IMF credit: 2019: 149, 2020: 132, 2021: 400, 2022: 376, 2023: 435, 2024: 420. IMF CR 26/150 external public debt 2025: 10.8% of GDP. 2025 is an estimate/preliminary.</t>
  </si>
  <si>
    <t>TG09</t>
  </si>
  <si>
    <t>External debt, total</t>
  </si>
  <si>
    <t>Public + private</t>
  </si>
  <si>
    <t>FDEBT total</t>
  </si>
  <si>
    <t>World Bank IDS; IMF DSA</t>
  </si>
  <si>
    <t>WDI API (data as of 13 Jul 2026): DT.DOD.DECT.CD / 1e6 (IDS, total external debt stocks)</t>
  </si>
  <si>
    <t>Public + private + IMF + short-term. Previously held total public debt in USD (domestic + external); replaced. % of rebased GDP at official rate: 2019: 18.73, 2020: 17.91, 2021: 23.63, 2022: 20.07, 2023: 22.55, 2024: 20.28. 2025 not yet in IDS.</t>
  </si>
  <si>
    <t>TG10</t>
  </si>
  <si>
    <t>Government domestic debt</t>
  </si>
  <si>
    <t>GDEBT</t>
  </si>
  <si>
    <t>IMF Article IV; BRB</t>
  </si>
  <si>
    <t>MFMod BDI datasheet 15-Sep-2026: FISCAL!GGDBTDOMTCN, LCU level / rebased GDP</t>
  </si>
  <si>
    <t>Old-base shares: 2019: 41.68, 2020: 48.22, 2021: 46.32, 2022: 50.26, 2023: 48.90, 2024: 47.49, 2025: 47.53. IMF CR 26/150 total public debt: 2024 53.3, 2025 41.6 (IMF GDP base). 2025 is an estimate/preliminary.</t>
  </si>
  <si>
    <t>TG11</t>
  </si>
  <si>
    <t>Gross fixed capital formation</t>
  </si>
  <si>
    <t>Total</t>
  </si>
  <si>
    <t>PrvFixInv+GovFixInv</t>
  </si>
  <si>
    <t>ISTEEBU; World Bank WDI</t>
  </si>
  <si>
    <t>UNSD National Accounts Main Aggregates, AMA API (Burundi, M49 108): series 16 item 5 (GFCF share)</t>
  </si>
  <si>
    <t>Rebased expenditure accounts (UNSD 2019-2024; 2025 not available). Gross capital formation incl. inventories: 2019: 13.75, 2020: 11.14, 2021: 12.76, 2022: 13.03, 2023: 12.64, 2024: 11.11. MFMod old base NEGDIFTOTCD: 2019: 14.13, 2020: 11.45, 2021: 13.11, 2022: 13.39, 2023: 12.56, 2024: 12.05, 2025: 11.82. WDI has no GFCF share for Burundi.</t>
  </si>
  <si>
    <t>TG12</t>
  </si>
  <si>
    <t>Private consumption</t>
  </si>
  <si>
    <t>Households + NPISH</t>
  </si>
  <si>
    <t>PrvCon</t>
  </si>
  <si>
    <t>UNSD National Accounts Main Aggregates, AMA API (Burundi, M49 108): series 16 item 2 (households + NPISH share)</t>
  </si>
  <si>
    <t>Rebased expenditure accounts. Identity check (UNSD 2019): C 87.2 + G 20.3 + GCF 13.8 + X 8.9 - M 30.2 = 100. WDI NE.CON.PRVT.ZS (2019: 69.37, 2020: 62.23, 2021: 60.73, 2022: 61.46, 2023: 58.08, 2024: 54.39, 2025: 51.09) divides the OLD-base consumption level by the rebased GDP and is not usable. Previous values in this row (89-92) removed. UNSD shares close to 100.0 in 2019 and to 98.6-99.8 in 2020-2024 (statistical discrepancy).</t>
  </si>
  <si>
    <t>TG13</t>
  </si>
  <si>
    <t>Government consumption</t>
  </si>
  <si>
    <t>Same as IN08 — a target when the closure makes it endogenous</t>
  </si>
  <si>
    <t>GovCon</t>
  </si>
  <si>
    <t>as IN08</t>
  </si>
  <si>
    <t>UNSD National Accounts Main Aggregates, AMA API (Burundi, M49 108): series 16 item 3 (general government final consumption share)</t>
  </si>
  <si>
    <t>Rebased NIA concept. Fiscal wages + goods and services (IN08) is about half of this. WDI NE.CON.GOVT.ZS (2019: 24.45, 2020: 26.05, 2021: 24.94, 2022: 25.72, 2023: 23.57, 2024: 21.21, 2025: 20.64) mixes bases, not usable. Previous values (30.9-39.6) removed.</t>
  </si>
  <si>
    <t>TG14</t>
  </si>
  <si>
    <t>Unemployment rate</t>
  </si>
  <si>
    <t>Total, if any estimate exists</t>
  </si>
  <si>
    <t>UERAT</t>
  </si>
  <si>
    <t>C</t>
  </si>
  <si>
    <t>ILOSTAT modelled estimates; ISTEEBU survey</t>
  </si>
  <si>
    <t>WDI API (data as of 13 Jul 2026): SL.UEM.TOTL.ZS (ILO modelled estimate)</t>
  </si>
  <si>
    <t>ILO modelled; national survey estimate (SL.UEM.TOTL.NE.ZS) only for 2020: 1.03. 2025 is an estimate/preliminary.</t>
  </si>
  <si>
    <t>TG15</t>
  </si>
  <si>
    <t>Wages</t>
  </si>
  <si>
    <t>Nominal wage index or public-sector wage bill growth</t>
  </si>
  <si>
    <t>WF</t>
  </si>
  <si>
    <t>% (nominal public wage bill growth)</t>
  </si>
  <si>
    <t>ISTEEBU; Ministry of Finance</t>
  </si>
  <si>
    <t>MFMod BDI datasheet 15-Sep-2026 (MFMod data 09152026.xlsx): FISCAL!GGEXPWAGECN (% GDP) x nominal GDP, growth of the level</t>
  </si>
  <si>
    <t>Nominal growth of the public wage bill (wages and compensation). Wage bill % GDP: 2019: 7.91, 2020: 8.11, 2021: 7.32, 2022: 6.81, 2023: 7.84, 2024: 8.98, 2025: 8.44. 2025 = MFMod history-end value (Actual History End flag = 2025); treat as preliminary estimate.</t>
  </si>
  <si>
    <t>TG16</t>
  </si>
  <si>
    <t>FDI inflows</t>
  </si>
  <si>
    <t>Net</t>
  </si>
  <si>
    <t>INVVALF</t>
  </si>
  <si>
    <t>BRB BoP; UNCTAD</t>
  </si>
  <si>
    <t>WDI API (data as of 13 Jul 2026): BX.KLT.DINV.CD.WD / 1e6 (FDI net inflows, BoP)</t>
  </si>
  <si>
    <t>MFMod BFCAFFFDICD_INFLOW gives near-zero/negative values (2019: 0.3, 2020: 7.6, 2021: 8.8, 2022: 10.9, 2023: -1.7, 2024: -0.7, 2025: -4.2); WDI/BRB BoP series used instead. 2025 is an estimate/preliminary.</t>
  </si>
  <si>
    <t>TG17</t>
  </si>
  <si>
    <t>Remittances</t>
  </si>
  <si>
    <t>Inflows</t>
  </si>
  <si>
    <t>TRII(row,h)</t>
  </si>
  <si>
    <t>BRB BoP; World Bank remittance data</t>
  </si>
  <si>
    <t>WDI API (data as of 13 Jul 2026): BX.TRF.PWKR.CD.DT / 1e6 (personal remittances received)</t>
  </si>
  <si>
    <t>MFMod BXFSTREMTCD gives lower values (2019: 72.6, 2020: 98.7, 2021: 121.3, 2022: 114.3, 2023: 133.0, 2024: 146.5, 2025: 171.4). 2025 is an estimate/preliminary.</t>
  </si>
  <si>
    <t>TG18</t>
  </si>
  <si>
    <t>Official reserves</t>
  </si>
  <si>
    <t>End-year; or months of imports</t>
  </si>
  <si>
    <t>drf</t>
  </si>
  <si>
    <t>WDI API (data as of 13 Jul 2026): FI.RES.TOTL.CD / 1e6 (2019-2023); IMF Country Report 26/150 (2026 Article IV, June 2026), Table 1 (2024: 191.3, 2025 est.: 213.9)</t>
  </si>
  <si>
    <t>End-year gross reserves incl. gold. Months of imports (WDI FI.RES.TOTL.MO): 2019: 1.2, 2020: 1.0, 2021: 2.6, 2022: 1.3, 2023: 0.7; IMF CR 26/150: 2024 1.5, 2025 1.6 months. IMF CR 23/270 gives 2021 281.0, 2022 159.0 (USD mn). 2025 is an estimate/preliminary.</t>
  </si>
  <si>
    <t>TG19</t>
  </si>
  <si>
    <t>Coffee exports</t>
  </si>
  <si>
    <t>Value and volume</t>
  </si>
  <si>
    <t>QE('c-agr')/('c-food')</t>
  </si>
  <si>
    <t>USD mn</t>
  </si>
  <si>
    <t>BRB; ICO; OCIBU/ARFIC</t>
  </si>
  <si>
    <t>UN Comtrade public preview API, Burundi-reported (reporter 108), customs values: HS 0901 exports (2019-2023); 2024-25 mirror (partners' imports from Burundi, HS 0901)</t>
  </si>
  <si>
    <t>Value USD mn; volume in the added row TG19b below. Mirror values for comparison: 2019: 46.8, 2020: 43.5, 2021: 37.8, 2022: 30.9, 2023: 44.9, 2024: 30.2, 2025: 46.4. 2024-25 are mirror (partner-reported) and may be incomplete. ICO/ODECA figures preferable if available.</t>
  </si>
  <si>
    <t>TG20</t>
  </si>
  <si>
    <t>Mining exports (gold, rare earths, nickel)</t>
  </si>
  <si>
    <t>Value. Relevant to the combi scenario later.</t>
  </si>
  <si>
    <t>QE('c-min')</t>
  </si>
  <si>
    <t>BRB; EITI Burundi; ISTEEBU</t>
  </si>
  <si>
    <t>UN Comtrade public preview API, Burundi-reported (reporter 108), customs values: HS 7108 + 7102 + 26xx ores (2609, 2611, 2612, 2615, 2617) + 2530/2846 exports</t>
  </si>
  <si>
    <t>Gold (7108) alone: 2019: 66.9, 2020: 46.0, 2021: 40.6, 2022: 51.9, 2023: 75.0. Mirror gold (mostly UAE): 2019: 152.4, 2020: 92.0, 2021: 56.7, 2022: 53.5, 2023: 132.1, 2024: 0.0, 2025: 0.0, far above Burundi-reported values in 2019-2020 and 2023. 2024-25 left empty: Burundi has not reported and the UAE (main buyer) is missing from 2024 mirror data; IMF CR 26/150 notes a gold trade surge in 2025. Rare earths (2530/2846) exports stopped after 2021.</t>
  </si>
  <si>
    <t>TG19b</t>
  </si>
  <si>
    <t>Coffee export volume</t>
  </si>
  <si>
    <t>HS 0901, net weight</t>
  </si>
  <si>
    <t>tonnes</t>
  </si>
  <si>
    <t>UN Comtrade public preview API, Burundi-reported (reporter 108), customs values: HS 0901 net weight (2019-2023); 2024-25 mirror</t>
  </si>
  <si>
    <t>Companion to TG19. 2020 mirror volume (37.0 kt) looks mis-reported; Burundi-reported 12.9 kt used.</t>
  </si>
  <si>
    <t>TG20b</t>
  </si>
  <si>
    <t>Gold exports</t>
  </si>
  <si>
    <t>HS 7108, Burundi-reported</t>
  </si>
  <si>
    <t>UN Comtrade public preview API, Burundi-reported (reporter 108), customs values: HS 7108</t>
  </si>
  <si>
    <t>Companion to TG20. Mirror (partner-reported): 2019: 152.4, 2020: 92.0, 2021: 56.7, 2022: 53.5, 2023: 132.1, 2024: 0.0, 2025: 0.0.</t>
  </si>
  <si>
    <t>TG21</t>
  </si>
  <si>
    <t>NIA basis, rebased</t>
  </si>
  <si>
    <t>UNSD National Accounts Main Aggregates, AMA API (Burundi, M49 108): series 16 item 7</t>
  </si>
  <si>
    <t>NIA exports share (rebased), for the closure; BoP-based USD values are TG03-TG06.</t>
  </si>
  <si>
    <t>TG22</t>
  </si>
  <si>
    <t>UNSD National Accounts Main Aggregates, AMA API (Burundi, M49 108): series 16 item 8</t>
  </si>
  <si>
    <t>NIA imports share (rebased).</t>
  </si>
  <si>
    <t>Burundi CGE — data collection for the 2019-2024 backcast</t>
  </si>
  <si>
    <t>PURPOSE</t>
  </si>
  <si>
    <t>The Python CGE model is being validated against Burundi's actual 2019-2024 outcomes rather than against the GAMS projection. The model keeps the 2019 SAM as base. For 2020-2024 it needs (a) actual values of the series it takes as exogenous INPUTS, and (b) actual OUTCOMES to test its outputs against.</t>
  </si>
  <si>
    <t>SHEETS</t>
  </si>
  <si>
    <t>Inputs   — series that replace the model's 2020-24 projections. Filling these changes what the model is fed.</t>
  </si>
  <si>
    <t>Targets  — outcomes the model's outputs are compared to. Filling these changes nothing in the model; they are the test.</t>
  </si>
  <si>
    <t>Sectors  — value added by the model's 19 sectors. The 2019 'model share' column is pre-filled from the SAM for you to check.</t>
  </si>
  <si>
    <t>Trade    — exports and imports by the model's 19 commodities; 2019 model values pre-filled.</t>
  </si>
  <si>
    <t>PERIOD</t>
  </si>
  <si>
    <t>2019 is the base year (already in the SAM; use it to check the SAM). 2020-2024 are the actuals we need. 2025 if an estimate exists.</t>
  </si>
  <si>
    <t>PRIORITY</t>
  </si>
  <si>
    <t>A (red)    essential — the backcast cannot be judged without it</t>
  </si>
  <si>
    <t>B (yellow) important — improves the test materially</t>
  </si>
  <si>
    <t>C (green)  nice to have</t>
  </si>
  <si>
    <t>Fill the A rows first, across all five sheets. IN02 (parallel exchange rate), IN04 (GDP growth confirmation), IN05 (fuel price), TG02 (CPI), TG03/TG05 (trade) and the Sectors sheet are the ones that decide whether this works.</t>
  </si>
  <si>
    <t>CONVENTIONS</t>
  </si>
  <si>
    <t>Percentages as percent, not decimals (3.5 for 3.5%).</t>
  </si>
  <si>
    <t>Currency: state the unit in the Unit column if it differs from the one given; BIF billions and USD millions preferred.</t>
  </si>
  <si>
    <t>Indices: 2019 = 1.00 unless stated.</t>
  </si>
  <si>
    <t>Leave a cell EMPTY if the value is not available — do not enter 0.</t>
  </si>
  <si>
    <t>Put the source actually used in 'Source used' (report name and table, or URL). If a value is an estimate or projection rather than an actual, say so in Notes.</t>
  </si>
  <si>
    <t>Annual averages unless the description says end-year.</t>
  </si>
  <si>
    <t>WHAT HAPPENS NEXT</t>
  </si>
  <si>
    <t>Return the workbook as is. A loader is written around this exact layout, so do not rename sheets, move columns, or delete ID rows; adding rows at the bottom of a sheet is fine.</t>
  </si>
  <si>
    <t>FILLED FROM MFMOD (15 Sep 2026)</t>
  </si>
  <si>
    <t>All values come from the MFMod BDI datasheet (MFMod data 09152026.xlsx). MFMod flags 2025 as history end, so 2025 is filled but should be treated as a preliminary estimate. Where MFMod publishes only growth rates (nominal C, G, X, M and sector VA), levels were rebuilt from the GDP identity; the rebuild is exact (zero residual 2010-2025). Not available in MFMod: parallel exchange rate (IN02/IN03), working-age population level (IN15, growth given instead), quota changes (IN16), total external debt (TG09), unemployment (TG14), reserves stock (TG18, MFMod series invalid), coffee and mining exports (TG19/TG20), and all commodity-level trade (Trade sheet).</t>
  </si>
  <si>
    <t>ROUND 2 (15 Sep 2026): REBASED</t>
  </si>
  <si>
    <t>MFMod carries the pre-rebasing national accounts (2019 GDP 5,560 bn BIF). The SAM is on the rebased series, so all "% of GDP" rows now use the rebased GDP from WDI (NY.GDP.MKTP.CN: 2019 6,196 bn; 2024 14,567 bn). Fiscal and debt ratios from MFMod were converted to LCU/USD levels and divided by the rebased GDP (rescale factor old/new GDP: 2019: 0.897, 2020: 0.831, 2021: 0.810, 2022: 0.830, 2023: 0.769, 2024: 0.711, 2025: 0.689). Expenditure shares (TG11-TG13, TG21-22) come from UNSD AMA (the only rebased expenditure decomposition available online, 2019-2024). Sector VA (Sectors sheet) uses WDI rebased levels with UNSD sub-splits. Trade by commodity uses Comtrade Burundi-reported HS data 2019-2023 (2024-25 scaled estimates), services from the BoP. IN15, TG09, TG14, TG16-18 from WDI/IDS; TG18 2024-25 and IN16 from IMF CR 26/150 and 23/270. SAM check: the 2019 trade column of the Trade sheet, at 10 bn BIF per SAM unit, sums to exports 539 bn and imports 1,864 bn, against 552 and 1,875 in the rebased national accounts (UNSD 2019), so the SAM is on the rebased GDP and the 14% tax/GDP ratio in the SAM matches the rebased fiscal rows here. The "2019 model % of GDP" column on the Trade sheet uses a denominator of about 1,130 units instead of 620 and should be recomputed from column D and the SAM GDP before use.</t>
  </si>
  <si>
    <t>Identity note: UNSD expenditure shares (TG11-13, TG21-22) sum to 100.0 in 2019 but to about 98.7 in 2020-2023 and 99.8 in 2024 (UNSD statistical discrepancy); if the loader enforces the identity, absorb the gap in the inventories/discrepancy line, not in the filled components.</t>
  </si>
  <si>
    <t>IN01</t>
  </si>
  <si>
    <t>Official exchange rate</t>
  </si>
  <si>
    <t>Annual average, BIF per USD</t>
  </si>
  <si>
    <t>EXR (numeraire scaling)</t>
  </si>
  <si>
    <t>BIF/USD</t>
  </si>
  <si>
    <t>BRB (Banque de la République du Burundi) statistics; IMF IFS</t>
  </si>
  <si>
    <t>MFMod BDI datasheet 15-Sep-2026 (MFMod data 09152026.xlsx): Cheatsheet!PANUSATLS (level, LCU per USD, annual average)</t>
  </si>
  <si>
    <t>Official BRB average rate as carried in MFMod. 2025 = MFMod history-end value (Actual History End flag = 2025); treat as preliminary estimate.</t>
  </si>
  <si>
    <t>IN02</t>
  </si>
  <si>
    <t>Parallel-market exchange rate</t>
  </si>
  <si>
    <t>Annual average, BIF per USD. The single most important series: the model's FX premium is currently held flat at 2.5 (150%) through 2027.</t>
  </si>
  <si>
    <t>prexrindex0(t) = IN02/IN01 ÷ 2019 value</t>
  </si>
  <si>
    <t>IMF Article IV staff reports (cite the premium); BRB; press/market surveys; World Bank Burundi Economic Update</t>
  </si>
  <si>
    <t>WB FPG data</t>
  </si>
  <si>
    <t>Kodzovi (WB FPG data). Implied premium: 2019: 58%, 2020: 57%, 2021: 71%, 2022: 65%, 2023: 60%, 2024: 117%, 2025: 144%. Cross-check: IMF CR 26/150 says the premium "peaked at 160 percent in 2024" and "declined to 95 percent in 2025"; IMF CR 23/270: 71% end-Jan 2023, 102% mid-Apr 2023, ~42% after the 4 May 2023 step (official rate 2,081 to 2,875). The 2025 value here (144%) runs against the IMF direction; worth confirming.</t>
  </si>
  <si>
    <t>IN03</t>
  </si>
  <si>
    <t>FX premium (derived)</t>
  </si>
  <si>
    <t>FX premium gap</t>
  </si>
  <si>
    <t>prexrindex0 (= IN02/IN01)</t>
  </si>
  <si>
    <t>ratio</t>
  </si>
  <si>
    <t>IMF Article IV</t>
  </si>
  <si>
    <t>Formula = IN02/IN01; see IN02 notes.</t>
  </si>
  <si>
    <t>IN04</t>
  </si>
  <si>
    <t>Real GDP growth</t>
  </si>
  <si>
    <t>Confirm the workbook's 2020-24 values (0.34, 3.12, 1.83, 2.66, 3.53%) are actuals; correct if not.</t>
  </si>
  <si>
    <t>gdpgrw(t) — PINS real GDP in the calibration pass</t>
  </si>
  <si>
    <t>ISTEEBU comptes nationaux; IMF WEO; World Bank WDI</t>
  </si>
  <si>
    <t>WDI API (data as of 13 Jul 2026): NY.GDP.MKTP.KD.ZG (rebased series)</t>
  </si>
  <si>
    <t>Rebased national accounts (WDI July 2026 vintage; IMF CR 26/150 gives 4.1 for 2024 and 4.2 for 2025, same series). The workbook values (0.34, 3.12, 1.83, 2.66, 3.53) equal the UNSD AMA / earlier ISTEEBU vintage (2019: 4.46, 2020: 0.33, 2021: 3.10, 2022: 1.85, 2023: 2.70, 2024: 3.53); MFMod old-base: 2019: 1.81, 2020: 0.33, 2021: 3.10, 2022: 1.85, 2023: 2.67, 2024: 4.05, 2025: 4.15. 2025 is an estimate/preliminary.</t>
  </si>
  <si>
    <t>IN05</t>
  </si>
  <si>
    <t>Fuel import price</t>
  </si>
  <si>
    <t>Index or USD/bbl. Refined petroleum is a quota good carrying a model-generated 273% rent; the 2021-22 spike matters.</t>
  </si>
  <si>
    <t>pwmindex('c-refpet',t)</t>
  </si>
  <si>
    <t>USD/tonne (customs unit value, HS 2710 imports)</t>
  </si>
  <si>
    <t>World Bank Pink Sheet (Brent); IMF Primary Commodity Prices; BRB import unit values</t>
  </si>
  <si>
    <t>UN Comtrade public preview API, Burundi-reported (reporter 108), customs values: HS 2710 imports, value / net weight (2019-2023); 2024-25 extrapolated with MFMod CRUDE_PETRO</t>
  </si>
  <si>
    <t>Customs unit value of refined petroleum imports, USD per tonne. Index 2019=1: 2019: 1.000, 2020: 0.831, 2021: 0.956, 2022: 1.505, 2023: 1.799, 2024: 1.757, 2025: 1.503. HS 2710 import values (USD mn): 2019: 160.7, 2020: 137.5, 2021: 162.8, 2022: 295.8, 2023: 255.3; volumes (kt): 2019: 232, 2020: 239, 2021: 246, 2022: 284, 2023: 205. Burundi has not reported 2024-25 to Comtrade and mirror data do not capture fuel (transits via TZ/KE), so 2024-25 = 2023 unit value moved with the World Bank crude price (estimate). World crude (USD/bbl, MFMod CRUDE_PETRO): 2019: 64.03, 2020: 42.30, 2021: 70.44, 2022: 99.82, 2023: 82.62, 2024: 80.70, 2025: 69.04.</t>
  </si>
  <si>
    <t>IN06</t>
  </si>
  <si>
    <t>Import price index, all goods</t>
  </si>
  <si>
    <t>USD terms, 2019 = 1</t>
  </si>
  <si>
    <t>pwmindex(c,t)</t>
  </si>
  <si>
    <t>index</t>
  </si>
  <si>
    <t>BRB / ISTEEBU import unit values; IMF WEO deflators</t>
  </si>
  <si>
    <t>MFMod BDI datasheet 15-Sep-2026 (MFMod data 09152026.xlsx): NIA-P!PMKEY (Keyfitz import price index, growth) cumulated to 2019=1</t>
  </si>
  <si>
    <t>MFMod Keyfitz world import price for Burundi basket, USD terms. Alternative, implicit USD import deflator (BoP nominal imports GNFS / NIA real imports), 2019=1: 2019: 1.000, 2020: 0.977, 2021: 1.076, 2022: 1.217, 2023: 1.154, 2024: 1.025, 2025: 1.029. The two diverge in 2023 (official-rate pass-through), pick per model convention. 2025 = MFMod history-end value (Actual History End flag = 2025); treat as preliminary estimate. Kept (Keyfitz) per decision of 15 Sep; fuel now has its own customs unit value in IN05.</t>
  </si>
  <si>
    <t>IN07</t>
  </si>
  <si>
    <t>Export price index</t>
  </si>
  <si>
    <t>Coffee, tea, gold dominate; USD terms</t>
  </si>
  <si>
    <t>pweindex(c,t)</t>
  </si>
  <si>
    <t>ICO (coffee); World Bank Pink Sheet (tea, gold); BRB</t>
  </si>
  <si>
    <t>MFMod BDI datasheet 15-Sep-2026 (MFMod data 09152026.xlsx): NIA-P!PXKEY (Keyfitz export price index, growth) cumulated to 2019=1</t>
  </si>
  <si>
    <t>MFMod Keyfitz world export price (coffee, tea, gold weighted), USD terms. Alternative, implicit USD export deflator (BoP nominal exports GNFS / NIA real exports), 2019=1: 2019: 1.000, 2020: 1.066, 2021: 1.150, 2022: 1.188, 2023: 1.298, 2024: 1.164, 2025: 1.243. 2025 = MFMod history-end value (Actual History End flag = 2025); treat as preliminary estimate. Kept (Keyfitz) per decision of 15 Sep.</t>
  </si>
  <si>
    <t>IN08</t>
  </si>
  <si>
    <t>Held flat at 10.7% of GDP from 2020 in the workbook.</t>
  </si>
  <si>
    <t>govspndgdp0('congov',t)</t>
  </si>
  <si>
    <t>IMF Article IV fiscal tables; Ministry of Finance; BRB</t>
  </si>
  <si>
    <t>MFMod BDI datasheet 15-Sep-2026: FISCAL!GGEXPWAGECN + GGEXPGNFSCN, LCU level / rebased GDP (WDI API (data as of 13 Jul 2026) NY.GDP.MKTP.CN)</t>
  </si>
  <si>
    <t>Fiscal concept (wages + use of goods and services), rebased. Old-base shares: 2019: 10.69, 2020: 11.05, 2021: 9.85, 2022: 9.14, 2023: 10.88, 2024: 12.18, 2025: 11.65. Rescale factor old/new GDP: 2019: 0.897, 2020: 0.831, 2021: 0.810, 2022: 0.830, 2023: 0.769, 2024: 0.711, 2025: 0.689. Wages alone (rebased): 2019: 7.10, 2020: 6.74, 2021: 5.93, 2022: 5.65, 2023: 6.03, 2024: 6.38, 2025: 5.82. NIA government final consumption is in TG13 (UNSD, 20-23% of GDP). Values previously in this row (30.9-39.6) were removed: they did not close the GDP identity with TG11/TG12. 2025 is an estimate/preliminary.</t>
  </si>
  <si>
    <t>IN09</t>
  </si>
  <si>
    <t>Government capital spending</t>
  </si>
  <si>
    <t>Public investment. The workbook path has a discontinuity in 2020 (checklist C1).</t>
  </si>
  <si>
    <t>govspndgdp0('f-capgov',t)</t>
  </si>
  <si>
    <t>IMF Article IV fiscal tables; Ministry of Finance</t>
  </si>
  <si>
    <t>MFMod BDI datasheet 15-Sep-2026 (MFMod data 09152026.xlsx): FISCAL!GGEXPCAPTCN (% GDP)</t>
  </si>
  <si>
    <t>Kodzovi (WB FPG data), kept as provided; please confirm these are on the rebased GDP. For reference, MFMod budget capital expenditure (GGEXPCAPTCN) rebased: 2019: 9.26, 2020: 5.66, 2021: 6.41, 2022: 8.24, 2023: 11.62, 2024: 8.31, 2025: 8.43 (old base: 2019: 10.32, 2020: 6.81, 2021: 7.91, 2022: 9.93, 2023: 15.11, 2024: 11.69, 2025: 12.24); NIA public GFCF old base (NEGDIFGOVCD): 2019: 3.38, 2020: 1.96, 2021: 2.37, 2022: 2.65, 2023: 2.62, 2024: 2.47, 2025: 2.52. IMF CR 23/270 capital spending: 2021 5.3, 2022 9.1, 2023 12.5; IMF CR 26/150: 2024 10.9, 2025 9.2 (IMF GDP base).</t>
  </si>
  <si>
    <t>IN10</t>
  </si>
  <si>
    <t>Tax revenue</t>
  </si>
  <si>
    <t>Total tax revenue</t>
  </si>
  <si>
    <t>govrecgdp0(tax,t)</t>
  </si>
  <si>
    <t>IMF Article IV; OBR (Office Burundais des Recettes)</t>
  </si>
  <si>
    <t>MFMod BDI datasheet 15-Sep-2026: FISCAL!GGREVTAXTCN, LCU level / rebased GDP (WDI API (data as of 13 Jul 2026) NY.GDP.MKTP.CN)</t>
  </si>
  <si>
    <t>Tax revenue incl. social contributions, rebased. Old-base shares: 2019: 16.02, 2020: 16.43, 2021: 16.63, 2022: 15.48, 2023: 16.87, 2024: 16.43, 2025: 19.56. 2025 is an estimate/preliminary.</t>
  </si>
  <si>
    <t>IN11</t>
  </si>
  <si>
    <t>Grants to government</t>
  </si>
  <si>
    <t>External grants</t>
  </si>
  <si>
    <t>govrecgdp0('trgovrow',t)</t>
  </si>
  <si>
    <t>MFMod BDI datasheet 15-Sep-2026: FISCAL!GGREVGRNTCN, LCU level / rebased GDP (WDI API (data as of 13 Jul 2026) NY.GDP.MKTP.CN)</t>
  </si>
  <si>
    <t>Grants, rebased. Old-base shares: 2019: 4.57, 2020: 4.44, 2021: 3.90, 2022: 4.32, 2023: 4.16, 2024: 3.97, 2025: 2.65. 2025 is an estimate/preliminary.</t>
  </si>
  <si>
    <t>IN12</t>
  </si>
  <si>
    <t>Government domestic financing</t>
  </si>
  <si>
    <t>Net domestic borrowing</t>
  </si>
  <si>
    <t>govrecgdp0('netdomfin',t)</t>
  </si>
  <si>
    <t>MFMod BDI datasheet 15-Sep-2026: FISCAL!GGFINDOMTCN, LCU level / rebased GDP (WDI API (data as of 13 Jul 2026) NY.GDP.MKTP.CN)</t>
  </si>
  <si>
    <t>Net domestic financing, rebased. Old-base shares: 2019: 4.19, 2020: 7.03, 2021: 2.43, 2022: 3.03, 2023: 2.90, 2024: 8.54, 2025: 4.20. MFMod financing gap (old base): 2019: 0.41, 2020: -0.91, 2021: 1.44, 2022: 7.19, 2023: 4.61, 2024: -3.69, 2025: -0.57. 2025 is an estimate/preliminary.</t>
  </si>
  <si>
    <t>IN13</t>
  </si>
  <si>
    <t>Government external financing</t>
  </si>
  <si>
    <t>Net external borrowing</t>
  </si>
  <si>
    <t>govrecgdp0('netforfingov',t)</t>
  </si>
  <si>
    <t>MFMod BDI datasheet 15-Sep-2026: FISCAL!GGFINEXTLCN, LCU level / rebased GDP (WDI API (data as of 13 Jul 2026) NY.GDP.MKTP.CN)</t>
  </si>
  <si>
    <t>Net external financing, rebased. Old-base shares: 2019: 1.79, 2020: 0.46, 2021: 0.73, 2022: 0.52, 2023: 1.75, 2024: 1.51, 2025: 0.98. 2025 is an estimate/preliminary.</t>
  </si>
  <si>
    <t>IN14</t>
  </si>
  <si>
    <t>Population, total</t>
  </si>
  <si>
    <t>Mid-year</t>
  </si>
  <si>
    <t>pop0(h,t)</t>
  </si>
  <si>
    <t>thousands</t>
  </si>
  <si>
    <t>ISTEEBU projections; UN World Population Prospects</t>
  </si>
  <si>
    <t>MFMod BDI datasheet 15-Sep-2026 (MFMod data 09152026.xlsx): Cheatsheet!SPPOPTOTL (level, millions) x 1000</t>
  </si>
  <si>
    <t>WDI/UN WPP series as carried in MFMod. 2025 = MFMod history-end value (Actual History End flag = 2025); treat as preliminary estimate.</t>
  </si>
  <si>
    <t>IN15</t>
  </si>
  <si>
    <t>Population, working age (15-64)</t>
  </si>
  <si>
    <t>pop0('agelab',t)</t>
  </si>
  <si>
    <t>UN WPP; ILOSTAT</t>
  </si>
  <si>
    <t>WDI API (data as of 13 Jul 2026): SP.POP.1564.TO / 1000</t>
  </si>
  <si>
    <t>UN WPP series as carried in WDI. 2025 is an estimate/preliminary.</t>
  </si>
  <si>
    <t>IN16</t>
  </si>
  <si>
    <t>Import quota / licensing changes</t>
  </si>
  <si>
    <t>Any change to fuel or chemicals import quotas or FX allocation for imports. Text is fine.</t>
  </si>
  <si>
    <t>qmbarindex0(c,t)</t>
  </si>
  <si>
    <t>text / index</t>
  </si>
  <si>
    <t>No change recorded</t>
  </si>
  <si>
    <t>Oct 2021: tax breaks on petroleum products to contain inflation (IMF CR 23/270)</t>
  </si>
  <si>
    <t>BRB FX allocation at the official rate restricted to fuel only; other imports pushed to the parallel market; premium ~70% by end-2022</t>
  </si>
  <si>
    <t>Premium 71% (Jan) to 102% (Apr); 4 May 2023 official rate step from 2,081 to 2,875 BIF/USD (-38%), interbank market (MID) launched, premium ~42% after; fuel shortages begin; private importers depend on BRB FX</t>
  </si>
  <si>
    <t>20 Feb 2024: SOPEBU created (decree 100/034) with centralised monopoly on petroleum imports and a 3-month strategic stock mandate; severe fuel shortages through the year; premium peaks at 160%</t>
  </si>
  <si>
    <t>Premium falls to 95% on higher FX inflows from the gold trade surge (IMF CR 26/150); fuel supply still constrained (SOPEBU)</t>
  </si>
  <si>
    <t>Ministry of Trade; BRB FX allocation circulars; IMF Article IV</t>
  </si>
  <si>
    <t>IMF Country Report 23/270 (ECF request, July 2023); IMF Country Report 26/150 (2026 Article IV, June 2026), Table 1; Wikipedia SOPEBU page (decree 100/034)</t>
  </si>
  <si>
    <t>Text entries. Sources: IMF CR 23/270 (premium 71% end-Jan 2023, 102% mid-Apr 2023, ~42% after 4 May 2023 step; "stopped allocating FX at the official rate except for fuel"; petroleum tax breaks since Oct 2021). IMF CR 26/150 (premium peaked 160% in 2024, 95% in 2025; gold trade surge). SOPEBU: presidential decree 100/034 of 20 Feb 2024 (Wikipedia). No quantitative quota index available; suggest qmbarindex0 for c-refpet be calibrated on the HS 2710 import volumes in IN05 notes.</t>
  </si>
  <si>
    <t>IN17</t>
  </si>
  <si>
    <t>Interest rate, government domestic debt</t>
  </si>
  <si>
    <t>Effective rate</t>
  </si>
  <si>
    <t>gintrat0(t)</t>
  </si>
  <si>
    <t>BRB; IMF DSA</t>
  </si>
  <si>
    <t>MFMod BDI datasheet 15-Sep-2026 (MFMod data 09152026.xlsx): FISCAL!INTRDFR (effective rate, %)</t>
  </si>
  <si>
    <t>Effective rate = domestic interest / previous-year domestic debt stock. 2025 = MFMod history-end value (Actual History End flag = 2025); treat as preliminary estimate.</t>
  </si>
  <si>
    <t>IN18</t>
  </si>
  <si>
    <t>Interest rate, external debt</t>
  </si>
  <si>
    <t>fintrat0(ins2,t)</t>
  </si>
  <si>
    <t>IMF/WB Debt Sustainability Analysis</t>
  </si>
  <si>
    <t>MFMod BDI datasheet 15-Sep-2026 (MFMod data 09152026.xlsx): FISCAL!INTREFR (effective rate, %)</t>
  </si>
  <si>
    <t>Effective rate on external public debt. 2025 jump to 5.5% looks like a model artefact (external interest %GDP jumps 0.10 to 1.00); verify before use. 2025 = MFMod history-end value (Actual History End flag = 2025); treat as preliminary estimate.</t>
  </si>
  <si>
    <t>Model sector</t>
  </si>
  <si>
    <t>National-accounts category you mapped it to</t>
  </si>
  <si>
    <t>2019 model VA share (%)</t>
  </si>
  <si>
    <t>Unit of your data</t>
  </si>
  <si>
    <t>2019 actual</t>
  </si>
  <si>
    <t>2020 actual</t>
  </si>
  <si>
    <t>2021 actual</t>
  </si>
  <si>
    <t>2022 actual</t>
  </si>
  <si>
    <t>2023 actual</t>
  </si>
  <si>
    <t>2024 actual</t>
  </si>
  <si>
    <t>2025 actual</t>
  </si>
  <si>
    <t>a-agr</t>
  </si>
  <si>
    <t>Agriculture, livestock, forestry, fishing</t>
  </si>
  <si>
    <t>ISIC A-B Agriculture, forestry, fishing (WDI NV.AGR.TOTL.CN)</t>
  </si>
  <si>
    <t>VA, BIF bn current (rebased)</t>
  </si>
  <si>
    <t>WDI API (data as of 13 Jul 2026): NV.AGR.TOTL.CN; UNSD National Accounts Main Aggregates, AMA API (Burundi, M49 108) series 21 for sub-splits</t>
  </si>
  <si>
    <t>Group total given once (rows 2-2). 2019 share of sector VA total: 36.5% vs SAM 41.3%. 2025 is an estimate/preliminary.</t>
  </si>
  <si>
    <t>a-min</t>
  </si>
  <si>
    <t>Mining and quarrying</t>
  </si>
  <si>
    <t>ISIC C+E Mining and utilities (WDI industry minus manufacturing, split with UNSD C-E less D vs F)</t>
  </si>
  <si>
    <t>WDI API (data as of 13 Jul 2026): NV.IND.TOTL.CN - NV.IND.MANF.CN, UNSD split; UNSD National Accounts Main Aggregates, AMA API (Burundi, M49 108) series 21 for sub-splits</t>
  </si>
  <si>
    <t>Group total given once (rows 3-12). 2019 share of sector VA total: 1.2% vs SAM 3.7%. 2025 sub-split uses 2024 UNSD proportions. 2025 is an estimate/preliminary.</t>
  </si>
  <si>
    <t>a-food</t>
  </si>
  <si>
    <t>Food, beverages, tobacco</t>
  </si>
  <si>
    <t>ISIC D Manufacturing (WDI NV.IND.MANF.CN)</t>
  </si>
  <si>
    <t>WDI API (data as of 13 Jul 2026): NV.IND.MANF.CN; UNSD National Accounts Main Aggregates, AMA API (Burundi, M49 108) series 21 for sub-splits</t>
  </si>
  <si>
    <t>Group total given once (rows 4-10). 2019 share of sector VA total: 13.7% vs SAM 11.0%. 2025 is an estimate/preliminary.</t>
  </si>
  <si>
    <t>a-texwapp</t>
  </si>
  <si>
    <t>Textiles and apparel</t>
  </si>
  <si>
    <t>a-woodpaper</t>
  </si>
  <si>
    <t>Wood and paper products</t>
  </si>
  <si>
    <t>a-chemplast</t>
  </si>
  <si>
    <t>Chemicals and plastics (incl. refined petroleum?)</t>
  </si>
  <si>
    <t>a-prodminnmet</t>
  </si>
  <si>
    <t>Non-metallic mineral products (cement etc.)</t>
  </si>
  <si>
    <t>a-met</t>
  </si>
  <si>
    <t>Metals and metal products</t>
  </si>
  <si>
    <t>a-oman</t>
  </si>
  <si>
    <t>Other manufacturing</t>
  </si>
  <si>
    <t>a-elect</t>
  </si>
  <si>
    <t>Electricity</t>
  </si>
  <si>
    <t>a-water</t>
  </si>
  <si>
    <t>Water</t>
  </si>
  <si>
    <t>a-construc</t>
  </si>
  <si>
    <t>Construction</t>
  </si>
  <si>
    <t>ISIC F Construction (WDI industry minus manufacturing, UNSD split)</t>
  </si>
  <si>
    <t>Group total given once (rows 13-13). 2019 share of sector VA total: 3.8% vs SAM 1.6%. 2025 sub-split uses 2024 UNSD proportions. 2025 is an estimate/preliminary.</t>
  </si>
  <si>
    <t>a-trade</t>
  </si>
  <si>
    <t>Trade (wholesale, retail)</t>
  </si>
  <si>
    <t>ISIC G-H Wholesale, retail, hotels and restaurants (WDI services x UNSD share)</t>
  </si>
  <si>
    <t>WDI API (data as of 13 Jul 2026): NV.SRV.TOTL.CN x UNSD share; UNSD National Accounts Main Aggregates, AMA API (Burundi, M49 108) series 21 for sub-splits</t>
  </si>
  <si>
    <t>Group total given once (rows 14-16). 2019 share of sector VA total: 5.5% vs SAM 11.4%. 2025 sub-split uses 2024 UNSD proportions. 2025 is an estimate/preliminary.</t>
  </si>
  <si>
    <t>a-transp</t>
  </si>
  <si>
    <t>Transport and communications</t>
  </si>
  <si>
    <t>ISIC I Transport, storage, communication (WDI services x UNSD share)</t>
  </si>
  <si>
    <t>Group total given once (rows 15-15). 2019 share of sector VA total: 4.3% vs SAM 1.4%. 2025 sub-split uses 2024 UNSD proportions. 2025 is an estimate/preliminary.</t>
  </si>
  <si>
    <t>a-hotelrest</t>
  </si>
  <si>
    <t>Hotels and restaurants</t>
  </si>
  <si>
    <t>a-admpub</t>
  </si>
  <si>
    <t>Public administration</t>
  </si>
  <si>
    <t>ISIC J-P Other services incl. public administration, education, health (WDI services x UNSD share)</t>
  </si>
  <si>
    <t>Group total given once (rows 17-20). 2019 share of sector VA total: 35.0% vs SAM 29.7%. 2025 sub-split uses 2024 UNSD proportions. 2025 is an estimate/preliminary.</t>
  </si>
  <si>
    <t>a-edu</t>
  </si>
  <si>
    <t>Education</t>
  </si>
  <si>
    <t>a-health</t>
  </si>
  <si>
    <t>Health</t>
  </si>
  <si>
    <t>a-oser</t>
  </si>
  <si>
    <t>Other services</t>
  </si>
  <si>
    <t>TOTAL</t>
  </si>
  <si>
    <t>Sum of the above</t>
  </si>
  <si>
    <t>Sum of ISIC A-P value added (WDI agriculture + industry + services)</t>
  </si>
  <si>
    <t>BIF bn current (rebased)</t>
  </si>
  <si>
    <t>WDI API (data as of 13 Jul 2026): NV.AGR.TOTL.CN + NV.IND.TOTL.CN + NV.SRV.TOTL.CN</t>
  </si>
  <si>
    <t>WDI GDP at factor cost (NY.GDP.FCST.CN, BIF bn): 2019: 5574.9, 2020: 6419.0, 2021: 7361.7, 2022: 8756.1, 2023: 10773.8, 2024: 13370.9, 2025: 16321.5; net taxes on products (NY.TAX.NIND.CN): 2019: 621.3, 2020: 693.2, 2021: 798.0, 2022: 841.7, 2023: 1024.4, 2024: 1196.5, 2025: 1631.0. Sector sum exceeds GDP at factor cost by 2019: 236.1, 2020: 265.3, 2021: 300.9, 2022: 369.5, 2023: 458.0, 2024: 563.5, 2025: 656.8 (FISIM / basic-price treatment); use sector shares of the sector sum. UNSD total VA (older vintage): 2019: 5831.8, 2020: 6004.6, 2021: 6656.1, 2022: 7975.4, 2023: 9122.5, 2024: 11430.1. 2019 shares agr/ind/srv: WDI 36.5/18.7/44.8 vs SAM 41.3/16.3/42.5.</t>
  </si>
  <si>
    <t>Fill whatever form your national accounts give — nominal value added, real growth, or shares. State which in the Unit column. Coarser categories (e.g. 'manufacturing' covering a-food through a-oman) are fine: write the same category name against each model sector it covers and give the total once.</t>
  </si>
  <si>
    <t>Real VA growth (%), rebased, for reference</t>
  </si>
  <si>
    <t>Agriculture (ISIC A-B)</t>
  </si>
  <si>
    <t>real growth %</t>
  </si>
  <si>
    <t>WDI NV.AGR.TOTL.KD.ZG</t>
  </si>
  <si>
    <t>Industry (ISIC C-F)</t>
  </si>
  <si>
    <t>WDI NV.IND.TOTL.KD.ZG</t>
  </si>
  <si>
    <t>Manufacturing (ISIC D)</t>
  </si>
  <si>
    <t>WDI NV.IND.MANF.KD.ZG</t>
  </si>
  <si>
    <t>Services (ISIC G-P)</t>
  </si>
  <si>
    <t>WDI NV.SRV.TOTL.KD.ZG</t>
  </si>
  <si>
    <t>GDP</t>
  </si>
  <si>
    <t>WDI NY.GDP.MKTP.KD.ZG</t>
  </si>
  <si>
    <t>UNSD AMA value added by ISIC group, BIF bn current (older rebased vintage, 2019-2024), for reference</t>
  </si>
  <si>
    <t>A-B Agriculture</t>
  </si>
  <si>
    <t>BIF bn; real growth % in note</t>
  </si>
  <si>
    <t>UNSD National Accounts Main Aggregates, AMA API (Burundi, M49 108): series 21 item 10</t>
  </si>
  <si>
    <t>Real growth (series 25): 2019: 2.81, 2020: 2.80, 2021: 3.41, 2022: -0.80, 2023: 2.76, 2024: 2.19</t>
  </si>
  <si>
    <t>C-E Mining, manufacturing, utilities</t>
  </si>
  <si>
    <t>UNSD National Accounts Main Aggregates, AMA API (Burundi, M49 108): series 21 item 11</t>
  </si>
  <si>
    <t>Real growth (series 25): 2019: 1.17, 2020: 2.17, 2021: 2.84, 2022: 3.12, 2023: 2.82, 2024: 2.42</t>
  </si>
  <si>
    <t>D Manufacturing</t>
  </si>
  <si>
    <t>UNSD National Accounts Main Aggregates, AMA API (Burundi, M49 108): series 21 item 12</t>
  </si>
  <si>
    <t>Real growth (series 25): 2019: 0.79, 2020: 2.53, 2021: 2.73, 2022: 3.07, 2023: 2.89, 2024: 2.40</t>
  </si>
  <si>
    <t>F Construction</t>
  </si>
  <si>
    <t>UNSD National Accounts Main Aggregates, AMA API (Burundi, M49 108): series 21 item 13</t>
  </si>
  <si>
    <t>Real growth (series 25): 2019: 3.00, 2020: 0.13, 2021: 3.62, 2022: 3.30, 2023: 2.44, 2024: 2.49</t>
  </si>
  <si>
    <t>G-H Trade, hotels, restaurants</t>
  </si>
  <si>
    <t>UNSD National Accounts Main Aggregates, AMA API (Burundi, M49 108): series 21 item 14</t>
  </si>
  <si>
    <t>Real growth (series 25): 2019: 10.63, 2020: -4.93, 2021: 4.29, 2022: 3.37, 2023: 2.03, 2024: 2.96</t>
  </si>
  <si>
    <t>I Transport, communication</t>
  </si>
  <si>
    <t>UNSD National Accounts Main Aggregates, AMA API (Burundi, M49 108): series 21 item 15</t>
  </si>
  <si>
    <t>Real growth (series 25): 2019: 10.15, 2020: -3.50, 2021: 3.41, 2022: 3.44, 2023: 2.27, 2024: 3.06</t>
  </si>
  <si>
    <t>J-P Other activities</t>
  </si>
  <si>
    <t>UNSD National Accounts Main Aggregates, AMA API (Burundi, M49 108): series 21 item 16</t>
  </si>
  <si>
    <t>Real growth (series 25): 2019: 6.75, 2020: -0.88, 2021: 2.64, 2022: 3.03, 2023: 2.80, 2024: 2.84</t>
  </si>
  <si>
    <t>Total value added</t>
  </si>
  <si>
    <t>UNSD National Accounts Main Aggregates, AMA API (Burundi, M49 108): series 21 item 17</t>
  </si>
  <si>
    <t>Real growth (series 25): 2019: 4.61, 2020: 0.32, 2021: 3.10, 2022: 1.85, 2023: 2.70, 2024: 2.51</t>
  </si>
  <si>
    <t>Model commodity</t>
  </si>
  <si>
    <t>Flow</t>
  </si>
  <si>
    <t>2019 model value (SAM units, 10 bn BIF)</t>
  </si>
  <si>
    <t>2019 model % of GDP</t>
  </si>
  <si>
    <t>c-agr</t>
  </si>
  <si>
    <t>exports</t>
  </si>
  <si>
    <t>USD mn (customs value; 2024-25 estimate)</t>
  </si>
  <si>
    <t>UN Comtrade public preview API, Burundi-reported (reporter 108), customs values: HS chapters mapped to model commodities (see mapping rows 40+); 2024-25 = 2023 structure scaled to BoP goods total</t>
  </si>
  <si>
    <t>Column E (2019 model % of GDP) is inconsistent with column D: it implies a GDP of ~1,130 SAM units, whereas the SAM trade totals match the rebased 2019 GDP of ~620 units (6,196 bn BIF). Recompute E = D / 619.6 x 100 before comparing with the actuals here.</t>
  </si>
  <si>
    <t>imports</t>
  </si>
  <si>
    <t>c-min</t>
  </si>
  <si>
    <t>Mostly gold (HS 7108); Burundi-reported gold is well below partner-reported (see Targets TG20/TG20b). 2024-25 scaled estimate; the 2025 BoP export jump is gold.</t>
  </si>
  <si>
    <t>c-food</t>
  </si>
  <si>
    <t>Beer (2203) and cigarettes (2402) dominate. Coffee/tea are in c-agr (see note there).</t>
  </si>
  <si>
    <t>c-texwapp</t>
  </si>
  <si>
    <t>c-woodpaper</t>
  </si>
  <si>
    <t>c-refpet</t>
  </si>
  <si>
    <t>HS 2710-2715. HS 2710 alone: 2019: 160.7, 2020: 137.5, 2021: 162.8, 2022: 295.8, 2023: 255.3. Volumes and unit values in Inputs IN05.</t>
  </si>
  <si>
    <t>c-chemplast</t>
  </si>
  <si>
    <t>c-prodminnmet</t>
  </si>
  <si>
    <t>Includes cement (HS 2523): 2019: 44.3, 2020: 30.5, 2021: 37.9, 2022: 34.5, 2023: 31.5 USD mn.</t>
  </si>
  <si>
    <t>c-met</t>
  </si>
  <si>
    <t>c-oman</t>
  </si>
  <si>
    <t>Machinery (84-85), vehicles (87), other manufactures (42-43, 64-67, 90-97).</t>
  </si>
  <si>
    <t>c-elect</t>
  </si>
  <si>
    <t>USD mn  OR  BIF bn</t>
  </si>
  <si>
    <t>Not separately available</t>
  </si>
  <si>
    <t>No HS 2716 (electrical energy) imports reported by Burundi to Comtrade 2019-2023; power imports (Ruzizi/SINELAC) would need BRB or REGIDESO data.</t>
  </si>
  <si>
    <t>c-construc</t>
  </si>
  <si>
    <t>Construction services not separately reported in the BoP services split (included in c-oser).</t>
  </si>
  <si>
    <t>c-trade</t>
  </si>
  <si>
    <t>Trade margins are not traded in the BoP; leave empty.</t>
  </si>
  <si>
    <t>c-transp</t>
  </si>
  <si>
    <t>WDI API (data as of 13 Jul 2026): BX.GSR.NFSV.CD x BX.GSR.TRAN.ZS</t>
  </si>
  <si>
    <t>BoP transport services. 2025 is an estimate/preliminary.</t>
  </si>
  <si>
    <t>WDI API (data as of 13 Jul 2026): BM.GSR.NFSV.CD x BM.GSR.TRAN.ZS</t>
  </si>
  <si>
    <t>c-hotelrest</t>
  </si>
  <si>
    <t>WDI API (data as of 13 Jul 2026): BM.GSR.NFSV.CD x BM.GSR.TRVL.ZS</t>
  </si>
  <si>
    <t>BoP travel services. 2025 is an estimate/preliminary.</t>
  </si>
  <si>
    <t>c-oser</t>
  </si>
  <si>
    <t>WDI API (data as of 13 Jul 2026): BX.GSR.NFSV.CD x BX.GSR.(residual).ZS</t>
  </si>
  <si>
    <t>BoP services less transport and travel (communications, computer, insurance, financial, government, other). 2025 is an estimate/preliminary.</t>
  </si>
  <si>
    <t>WDI API (data as of 13 Jul 2026): BM.GSR.NFSV.CD x BM.GSR.(residual).ZS</t>
  </si>
  <si>
    <t>Priority C overall, except c-refpet and c-chemplast imports (the quota goods) and c-min / c-agr exports, which are B. HS-chapter or SITC data from BRB or UN Comtrade can be mapped to these 19 commodities; note the mapping used.</t>
  </si>
  <si>
    <t>BoP and customs totals (USD mn), for reconciliation</t>
  </si>
  <si>
    <t>Merchandise (BoP, FOB)</t>
  </si>
  <si>
    <t>WDI API (data as of 13 Jul 2026): BX.GSR.MRCH.CD</t>
  </si>
  <si>
    <t>Goods and services (BoP)</t>
  </si>
  <si>
    <t>WDI API (data as of 13 Jul 2026): BX.GSR.GNFS.CD</t>
  </si>
  <si>
    <t>WDI API (data as of 13 Jul 2026): BM.GSR.MRCH.CD</t>
  </si>
  <si>
    <t>WDI API (data as of 13 Jul 2026): BM.GSR.GNFS.CD</t>
  </si>
  <si>
    <t>Merchandise (customs, Comtrade)</t>
  </si>
  <si>
    <t>UN Comtrade public preview API, Burundi-reported (reporter 108), customs values: all HS chapters</t>
  </si>
  <si>
    <t>Merchandise (customs, Comtrade, CIF)</t>
  </si>
  <si>
    <t>Refined petroleum re-exports (no template row)</t>
  </si>
  <si>
    <t>UN Comtrade public preview API, Burundi-reported (reporter 108), customs values: HS 2710 exports; not allocated to any row above</t>
  </si>
  <si>
    <t>HS chapter to model commodity mapping used</t>
  </si>
  <si>
    <t>01, 03, 05-10, 12-14, 4101-4103 (live animals, fish, vegetables, fruit, coffee, tea, cereals, oilseeds, raw hides)</t>
  </si>
  <si>
    <t>26, 71, 2501-2530 except 2523, 2701-2709 (ores, gold, salt, stone, coal)</t>
  </si>
  <si>
    <t>02, 04, 11, 15-24 (meat, dairy, milling, oils, sugar, beverages, tobacco)</t>
  </si>
  <si>
    <t>50-63</t>
  </si>
  <si>
    <t>44-49</t>
  </si>
  <si>
    <t>2710-2715 (refined products, LPG, bitumen)</t>
  </si>
  <si>
    <t>28-40 (chemicals, pharmaceuticals, fertilisers, plastics, rubber)</t>
  </si>
  <si>
    <t>2523 (cement), 68-70</t>
  </si>
  <si>
    <t>72-83</t>
  </si>
  <si>
    <t>42-43, 4104-4115, 64-67, 84-97, 99 (leather goods, footwear, machinery, vehicles, instruments, furniture)</t>
  </si>
  <si>
    <t>2716 (none reported)</t>
  </si>
  <si>
    <t>c-transp / c-hotelrest / c-oser</t>
  </si>
  <si>
    <t>BoP services: transport / travel / residual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</si>
</sst>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name val="Calibri"/>
    </font>
    <font>
      <b/>
      <sz val="11"/>
      <color rgb="FFFFFFFF"/>
      <name val="Calibri"/>
    </font>
    <font>
      <sz val="11"/>
      <color indexed="16"/>
      <name val="Calibri"/>
      <family val="2"/>
      <scheme val="minor"/>
    </font>
    <font>
      <b/>
      <sz val="11"/>
      <name val="Calibri"/>
    </font>
  </fonts>
  <fills count="9">
    <fill>
      <patternFill patternType="none"/>
    </fill>
    <fill>
      <patternFill patternType="gray125"/>
    </fill>
    <fill>
      <patternFill patternType="solid">
        <fgColor rgb="FF1F4E78"/>
      </patternFill>
    </fill>
    <fill>
      <patternFill patternType="solid">
        <fgColor rgb="FFF8CBAD"/>
      </patternFill>
    </fill>
    <fill>
      <patternFill patternType="solid">
        <fgColor rgb="FFFFFFFF"/>
      </patternFill>
    </fill>
    <fill>
      <patternFill patternType="solid">
        <fgColor rgb="FFFFE699"/>
      </patternFill>
    </fill>
    <fill>
      <patternFill patternType="solid">
        <fgColor rgb="FFE2EFDA"/>
      </patternFill>
    </fill>
    <fill>
      <patternFill patternType="solid">
        <fgColor rgb="FFDDEBF7"/>
      </patternFill>
    </fill>
    <fill>
      <patternFill patternType="solid">
        <fgColor indexed="22"/>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top"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 fillId="0" borderId="0" xfId="0" applyFont="1"/>
    <xf numFmtId="164" fontId="0" fillId="4" borderId="0" xfId="0" applyNumberFormat="1" applyFill="1" applyAlignment="1">
      <alignment vertical="center"/>
    </xf>
    <xf numFmtId="0" fontId="2" fillId="2" borderId="0" xfId="0" applyFont="1" applyFill="1" applyAlignment="1">
      <alignment vertical="center" wrapText="1"/>
    </xf>
    <xf numFmtId="0" fontId="0" fillId="0" borderId="0" xfId="0" applyAlignment="1">
      <alignment vertical="center"/>
    </xf>
    <xf numFmtId="0" fontId="0" fillId="0" borderId="0" xfId="0" applyAlignment="1">
      <alignment vertical="center" wrapText="1"/>
    </xf>
    <xf numFmtId="0" fontId="0" fillId="3" borderId="0" xfId="0" applyFill="1" applyAlignment="1">
      <alignment vertical="center"/>
    </xf>
    <xf numFmtId="0" fontId="0" fillId="4" borderId="0" xfId="0" applyFill="1" applyAlignment="1">
      <alignment vertical="center"/>
    </xf>
    <xf numFmtId="0" fontId="0" fillId="5" borderId="0" xfId="0" applyFill="1" applyAlignment="1">
      <alignment vertical="center"/>
    </xf>
    <xf numFmtId="0" fontId="0" fillId="6" borderId="0" xfId="0" applyFill="1" applyAlignment="1">
      <alignment vertical="center"/>
    </xf>
    <xf numFmtId="164" fontId="3" fillId="8" borderId="0" xfId="0" applyNumberFormat="1" applyFont="1" applyFill="1" applyAlignment="1" applyProtection="1">
      <alignment horizontal="right"/>
      <protection locked="0"/>
    </xf>
    <xf numFmtId="164" fontId="3" fillId="8" borderId="0" xfId="0" applyNumberFormat="1" applyFont="1" applyFill="1" applyAlignment="1" applyProtection="1">
      <alignment horizontal="right" vertical="center"/>
      <protection locked="0"/>
    </xf>
    <xf numFmtId="164" fontId="0" fillId="4" borderId="0" xfId="0" applyNumberFormat="1" applyFill="1"/>
    <xf numFmtId="0" fontId="4" fillId="0" borderId="0" xfId="0" applyFon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heetViews>
  <sheetFormatPr defaultRowHeight="14.6" x14ac:dyDescent="0.4"/>
  <cols>
    <col min="1" max="1" width="110" customWidth="1"/>
  </cols>
  <sheetData>
    <row r="1" spans="1:1" x14ac:dyDescent="0.4">
      <c r="A1" s="1" t="s">
        <v>173</v>
      </c>
    </row>
    <row r="2" spans="1:1" x14ac:dyDescent="0.4">
      <c r="A2" s="2"/>
    </row>
    <row r="3" spans="1:1" x14ac:dyDescent="0.4">
      <c r="A3" s="1" t="s">
        <v>174</v>
      </c>
    </row>
    <row r="4" spans="1:1" ht="43.75" customHeight="1" x14ac:dyDescent="0.4">
      <c r="A4" s="2" t="s">
        <v>175</v>
      </c>
    </row>
    <row r="5" spans="1:1" x14ac:dyDescent="0.4">
      <c r="A5" s="2"/>
    </row>
    <row r="6" spans="1:1" x14ac:dyDescent="0.4">
      <c r="A6" s="1" t="s">
        <v>176</v>
      </c>
    </row>
    <row r="7" spans="1:1" x14ac:dyDescent="0.4">
      <c r="A7" s="2" t="s">
        <v>177</v>
      </c>
    </row>
    <row r="8" spans="1:1" x14ac:dyDescent="0.4">
      <c r="A8" s="2" t="s">
        <v>178</v>
      </c>
    </row>
    <row r="9" spans="1:1" x14ac:dyDescent="0.4">
      <c r="A9" s="2" t="s">
        <v>179</v>
      </c>
    </row>
    <row r="10" spans="1:1" x14ac:dyDescent="0.4">
      <c r="A10" s="2" t="s">
        <v>180</v>
      </c>
    </row>
    <row r="11" spans="1:1" x14ac:dyDescent="0.4">
      <c r="A11" s="2"/>
    </row>
    <row r="12" spans="1:1" x14ac:dyDescent="0.4">
      <c r="A12" s="1" t="s">
        <v>181</v>
      </c>
    </row>
    <row r="13" spans="1:1" x14ac:dyDescent="0.4">
      <c r="A13" s="2" t="s">
        <v>182</v>
      </c>
    </row>
    <row r="14" spans="1:1" x14ac:dyDescent="0.4">
      <c r="A14" s="2"/>
    </row>
    <row r="15" spans="1:1" x14ac:dyDescent="0.4">
      <c r="A15" s="1" t="s">
        <v>183</v>
      </c>
    </row>
    <row r="16" spans="1:1" x14ac:dyDescent="0.4">
      <c r="A16" s="2" t="s">
        <v>184</v>
      </c>
    </row>
    <row r="17" spans="1:1" x14ac:dyDescent="0.4">
      <c r="A17" s="2" t="s">
        <v>185</v>
      </c>
    </row>
    <row r="18" spans="1:1" x14ac:dyDescent="0.4">
      <c r="A18" s="2" t="s">
        <v>186</v>
      </c>
    </row>
    <row r="19" spans="1:1" ht="29.15" customHeight="1" x14ac:dyDescent="0.4">
      <c r="A19" s="2" t="s">
        <v>187</v>
      </c>
    </row>
    <row r="20" spans="1:1" x14ac:dyDescent="0.4">
      <c r="A20" s="2"/>
    </row>
    <row r="21" spans="1:1" x14ac:dyDescent="0.4">
      <c r="A21" s="1" t="s">
        <v>188</v>
      </c>
    </row>
    <row r="22" spans="1:1" x14ac:dyDescent="0.4">
      <c r="A22" s="2" t="s">
        <v>189</v>
      </c>
    </row>
    <row r="23" spans="1:1" x14ac:dyDescent="0.4">
      <c r="A23" s="2" t="s">
        <v>190</v>
      </c>
    </row>
    <row r="24" spans="1:1" x14ac:dyDescent="0.4">
      <c r="A24" s="2" t="s">
        <v>191</v>
      </c>
    </row>
    <row r="25" spans="1:1" x14ac:dyDescent="0.4">
      <c r="A25" s="2" t="s">
        <v>192</v>
      </c>
    </row>
    <row r="26" spans="1:1" ht="29.15" customHeight="1" x14ac:dyDescent="0.4">
      <c r="A26" s="2" t="s">
        <v>193</v>
      </c>
    </row>
    <row r="27" spans="1:1" x14ac:dyDescent="0.4">
      <c r="A27" s="2" t="s">
        <v>194</v>
      </c>
    </row>
    <row r="28" spans="1:1" x14ac:dyDescent="0.4">
      <c r="A28" s="2"/>
    </row>
    <row r="29" spans="1:1" x14ac:dyDescent="0.4">
      <c r="A29" s="1" t="s">
        <v>195</v>
      </c>
    </row>
    <row r="30" spans="1:1" ht="29.15" customHeight="1" x14ac:dyDescent="0.4">
      <c r="A30" s="2" t="s">
        <v>196</v>
      </c>
    </row>
    <row r="32" spans="1:1" x14ac:dyDescent="0.4">
      <c r="A32" s="9" t="s">
        <v>197</v>
      </c>
    </row>
    <row r="33" spans="1:1" x14ac:dyDescent="0.4">
      <c r="A33" t="s">
        <v>198</v>
      </c>
    </row>
    <row r="35" spans="1:1" x14ac:dyDescent="0.4">
      <c r="A35" s="21" t="s">
        <v>199</v>
      </c>
    </row>
    <row r="36" spans="1:1" x14ac:dyDescent="0.4">
      <c r="A36" t="s">
        <v>200</v>
      </c>
    </row>
    <row r="37" spans="1:1" x14ac:dyDescent="0.4">
      <c r="A37" t="s">
        <v>201</v>
      </c>
    </row>
  </sheetData>
  <pageMargins left="0.75" right="0.75" top="1" bottom="1" header="0.5" footer="0.5"/>
  <headerFooter>
    <oddFooter>&amp;R&amp;"Aptos"&amp;10 &amp;K000000_x000D_#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9"/>
  <sheetViews>
    <sheetView tabSelected="1" zoomScale="80" zoomScaleNormal="80" workbookViewId="0">
      <pane xSplit="2" ySplit="1" topLeftCell="D2" activePane="bottomRight" state="frozen"/>
      <selection pane="topRight" activeCell="C1" sqref="C1"/>
      <selection pane="bottomLeft" activeCell="A2" sqref="A2"/>
      <selection pane="bottomRight" activeCell="G9" sqref="G9"/>
    </sheetView>
  </sheetViews>
  <sheetFormatPr defaultRowHeight="14.6" x14ac:dyDescent="0.4"/>
  <cols>
    <col min="1" max="1" width="7" customWidth="1"/>
    <col min="2" max="2" width="30" customWidth="1"/>
    <col min="3" max="3" width="46" customWidth="1"/>
    <col min="4" max="4" width="30" customWidth="1"/>
    <col min="5" max="5" width="16" customWidth="1"/>
    <col min="6" max="6" width="9" customWidth="1"/>
    <col min="7" max="13" width="10" customWidth="1"/>
    <col min="14" max="14" width="44" customWidth="1"/>
    <col min="15" max="16" width="30" customWidth="1"/>
  </cols>
  <sheetData>
    <row r="1" spans="1:16" s="12" customFormat="1" ht="32.049999999999997" customHeight="1" x14ac:dyDescent="0.4">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row>
    <row r="2" spans="1:16" s="12" customFormat="1" ht="29.15" customHeight="1" x14ac:dyDescent="0.4">
      <c r="A2" s="12" t="s">
        <v>202</v>
      </c>
      <c r="B2" s="13" t="s">
        <v>203</v>
      </c>
      <c r="C2" s="13" t="s">
        <v>204</v>
      </c>
      <c r="D2" s="13" t="s">
        <v>205</v>
      </c>
      <c r="E2" s="12" t="s">
        <v>206</v>
      </c>
      <c r="F2" s="14" t="s">
        <v>21</v>
      </c>
      <c r="G2" s="15">
        <v>1845.6</v>
      </c>
      <c r="H2" s="15">
        <v>1915</v>
      </c>
      <c r="I2" s="15">
        <v>1976</v>
      </c>
      <c r="J2" s="15">
        <v>2034.3</v>
      </c>
      <c r="K2" s="15">
        <v>2576.4</v>
      </c>
      <c r="L2" s="15">
        <v>2885.2</v>
      </c>
      <c r="M2" s="15">
        <v>2943.1</v>
      </c>
      <c r="N2" s="13" t="s">
        <v>207</v>
      </c>
      <c r="O2" s="12" t="s">
        <v>208</v>
      </c>
      <c r="P2" s="12" t="s">
        <v>209</v>
      </c>
    </row>
    <row r="3" spans="1:16" s="12" customFormat="1" ht="43.75" customHeight="1" x14ac:dyDescent="0.4">
      <c r="A3" s="12" t="s">
        <v>210</v>
      </c>
      <c r="B3" s="13" t="s">
        <v>211</v>
      </c>
      <c r="C3" s="13" t="s">
        <v>212</v>
      </c>
      <c r="D3" s="13" t="s">
        <v>213</v>
      </c>
      <c r="E3" s="12" t="s">
        <v>206</v>
      </c>
      <c r="F3" s="14" t="s">
        <v>21</v>
      </c>
      <c r="G3" s="10">
        <v>2922.06076270221</v>
      </c>
      <c r="H3" s="10">
        <v>3003.42736774069</v>
      </c>
      <c r="I3" s="10">
        <v>3377.1641666666669</v>
      </c>
      <c r="J3" s="10">
        <v>3348.5758333333338</v>
      </c>
      <c r="K3" s="10">
        <v>4122.9424894102312</v>
      </c>
      <c r="L3" s="10">
        <v>6266.6399034992792</v>
      </c>
      <c r="M3" s="10">
        <v>7177.4660551162006</v>
      </c>
      <c r="N3" s="13" t="s">
        <v>214</v>
      </c>
      <c r="O3" s="12" t="s">
        <v>215</v>
      </c>
      <c r="P3" s="12" t="s">
        <v>216</v>
      </c>
    </row>
    <row r="4" spans="1:16" s="12" customFormat="1" x14ac:dyDescent="0.4">
      <c r="A4" s="12" t="s">
        <v>217</v>
      </c>
      <c r="B4" s="13" t="s">
        <v>218</v>
      </c>
      <c r="C4" s="13" t="s">
        <v>219</v>
      </c>
      <c r="D4" s="13" t="s">
        <v>220</v>
      </c>
      <c r="E4" s="12" t="s">
        <v>221</v>
      </c>
      <c r="F4" s="14" t="s">
        <v>21</v>
      </c>
      <c r="G4" s="10">
        <f t="shared" ref="G4:M4" si="0">G3/G2</f>
        <v>1.5832578904975132</v>
      </c>
      <c r="H4" s="10">
        <f t="shared" si="0"/>
        <v>1.568369382632214</v>
      </c>
      <c r="I4" s="10">
        <f t="shared" si="0"/>
        <v>1.7090911774628881</v>
      </c>
      <c r="J4" s="10">
        <f t="shared" si="0"/>
        <v>1.6460580215962906</v>
      </c>
      <c r="K4" s="10">
        <f t="shared" si="0"/>
        <v>1.6002726631773914</v>
      </c>
      <c r="L4" s="10">
        <f t="shared" si="0"/>
        <v>2.1719949755647026</v>
      </c>
      <c r="M4" s="10">
        <f t="shared" si="0"/>
        <v>2.4387435204771162</v>
      </c>
      <c r="N4" s="13" t="s">
        <v>222</v>
      </c>
      <c r="O4" s="12" t="s">
        <v>215</v>
      </c>
      <c r="P4" t="s">
        <v>223</v>
      </c>
    </row>
    <row r="5" spans="1:16" s="12" customFormat="1" ht="29.15" customHeight="1" x14ac:dyDescent="0.4">
      <c r="A5" s="12" t="s">
        <v>224</v>
      </c>
      <c r="B5" s="13" t="s">
        <v>225</v>
      </c>
      <c r="C5" s="13" t="s">
        <v>226</v>
      </c>
      <c r="D5" s="13" t="s">
        <v>227</v>
      </c>
      <c r="E5" s="12" t="s">
        <v>29</v>
      </c>
      <c r="F5" s="14" t="s">
        <v>21</v>
      </c>
      <c r="G5" s="15">
        <v>4.46</v>
      </c>
      <c r="H5" s="15">
        <v>0.31</v>
      </c>
      <c r="I5" s="15">
        <v>3.24</v>
      </c>
      <c r="J5" s="15">
        <v>2.3199999999999998</v>
      </c>
      <c r="K5" s="15">
        <v>3.25</v>
      </c>
      <c r="L5" s="15">
        <v>4.1100000000000003</v>
      </c>
      <c r="M5" s="15">
        <v>4.24</v>
      </c>
      <c r="N5" s="13" t="s">
        <v>228</v>
      </c>
      <c r="O5" s="12" t="s">
        <v>229</v>
      </c>
      <c r="P5" t="s">
        <v>230</v>
      </c>
    </row>
    <row r="6" spans="1:16" s="12" customFormat="1" ht="43.75" customHeight="1" x14ac:dyDescent="0.4">
      <c r="A6" s="12" t="s">
        <v>231</v>
      </c>
      <c r="B6" s="13" t="s">
        <v>232</v>
      </c>
      <c r="C6" s="13" t="s">
        <v>233</v>
      </c>
      <c r="D6" s="13" t="s">
        <v>234</v>
      </c>
      <c r="E6" s="12" t="s">
        <v>235</v>
      </c>
      <c r="F6" s="14" t="s">
        <v>21</v>
      </c>
      <c r="G6" s="15">
        <v>692</v>
      </c>
      <c r="H6" s="15">
        <v>575</v>
      </c>
      <c r="I6" s="15">
        <v>662</v>
      </c>
      <c r="J6" s="15">
        <v>1042</v>
      </c>
      <c r="K6" s="15">
        <v>1245</v>
      </c>
      <c r="L6" s="15">
        <v>1216</v>
      </c>
      <c r="M6" s="15">
        <v>1040</v>
      </c>
      <c r="N6" s="13" t="s">
        <v>236</v>
      </c>
      <c r="O6" s="12" t="s">
        <v>237</v>
      </c>
      <c r="P6" s="12" t="s">
        <v>238</v>
      </c>
    </row>
    <row r="7" spans="1:16" s="12" customFormat="1" ht="29.15" customHeight="1" x14ac:dyDescent="0.4">
      <c r="A7" s="12" t="s">
        <v>239</v>
      </c>
      <c r="B7" s="13" t="s">
        <v>240</v>
      </c>
      <c r="C7" s="13" t="s">
        <v>241</v>
      </c>
      <c r="D7" s="13" t="s">
        <v>242</v>
      </c>
      <c r="E7" s="12" t="s">
        <v>243</v>
      </c>
      <c r="F7" s="16" t="s">
        <v>43</v>
      </c>
      <c r="G7" s="15">
        <v>1</v>
      </c>
      <c r="H7" s="15">
        <v>0.99399999999999999</v>
      </c>
      <c r="I7" s="15">
        <v>1.1453</v>
      </c>
      <c r="J7" s="15">
        <v>1.2185999999999999</v>
      </c>
      <c r="K7" s="15">
        <v>1.1915</v>
      </c>
      <c r="L7" s="15">
        <v>1.1955</v>
      </c>
      <c r="M7" s="15">
        <v>1.1900999999999999</v>
      </c>
      <c r="N7" s="13" t="s">
        <v>244</v>
      </c>
      <c r="O7" s="12" t="s">
        <v>245</v>
      </c>
      <c r="P7" s="12" t="s">
        <v>246</v>
      </c>
    </row>
    <row r="8" spans="1:16" s="12" customFormat="1" x14ac:dyDescent="0.4">
      <c r="A8" s="12" t="s">
        <v>247</v>
      </c>
      <c r="B8" s="13" t="s">
        <v>248</v>
      </c>
      <c r="C8" s="13" t="s">
        <v>249</v>
      </c>
      <c r="D8" s="13" t="s">
        <v>250</v>
      </c>
      <c r="E8" s="12" t="s">
        <v>243</v>
      </c>
      <c r="F8" s="16" t="s">
        <v>43</v>
      </c>
      <c r="G8" s="15">
        <v>1</v>
      </c>
      <c r="H8" s="15">
        <v>1.1505000000000001</v>
      </c>
      <c r="I8" s="15">
        <v>1.4395</v>
      </c>
      <c r="J8" s="15">
        <v>1.5501</v>
      </c>
      <c r="K8" s="15">
        <v>1.3746</v>
      </c>
      <c r="L8" s="15">
        <v>1.7221</v>
      </c>
      <c r="M8" s="15">
        <v>2.3742999999999999</v>
      </c>
      <c r="N8" s="13" t="s">
        <v>251</v>
      </c>
      <c r="O8" s="12" t="s">
        <v>252</v>
      </c>
      <c r="P8" s="12" t="s">
        <v>253</v>
      </c>
    </row>
    <row r="9" spans="1:16" s="12" customFormat="1" x14ac:dyDescent="0.4">
      <c r="A9" s="12" t="s">
        <v>254</v>
      </c>
      <c r="B9" s="13" t="s">
        <v>98</v>
      </c>
      <c r="C9" s="13" t="s">
        <v>255</v>
      </c>
      <c r="D9" s="13" t="s">
        <v>256</v>
      </c>
      <c r="E9" s="12" t="s">
        <v>60</v>
      </c>
      <c r="F9" s="14" t="s">
        <v>21</v>
      </c>
      <c r="G9" s="18">
        <v>9.59</v>
      </c>
      <c r="H9" s="18">
        <v>9.19</v>
      </c>
      <c r="I9" s="18">
        <v>7.98</v>
      </c>
      <c r="J9" s="18">
        <v>7.59</v>
      </c>
      <c r="K9" s="18">
        <v>8.3699999999999992</v>
      </c>
      <c r="L9" s="18">
        <v>8.66</v>
      </c>
      <c r="M9" s="18">
        <v>8.02</v>
      </c>
      <c r="N9" s="13" t="s">
        <v>257</v>
      </c>
      <c r="O9" s="12" t="s">
        <v>258</v>
      </c>
      <c r="P9" s="12" t="s">
        <v>259</v>
      </c>
    </row>
    <row r="10" spans="1:16" s="12" customFormat="1" ht="29.15" customHeight="1" x14ac:dyDescent="0.4">
      <c r="A10" s="12" t="s">
        <v>260</v>
      </c>
      <c r="B10" s="13" t="s">
        <v>261</v>
      </c>
      <c r="C10" s="13" t="s">
        <v>262</v>
      </c>
      <c r="D10" s="13" t="s">
        <v>263</v>
      </c>
      <c r="E10" s="12" t="s">
        <v>60</v>
      </c>
      <c r="F10" s="14" t="s">
        <v>21</v>
      </c>
      <c r="G10" s="19">
        <v>4.0292199999999996</v>
      </c>
      <c r="H10" s="19">
        <v>2.4155000000000002</v>
      </c>
      <c r="I10" s="19">
        <v>2.4897200000000002</v>
      </c>
      <c r="J10" s="19">
        <v>2.4978500000000001</v>
      </c>
      <c r="K10" s="19">
        <v>2.6135899999999999</v>
      </c>
      <c r="L10" s="19">
        <v>2.5373299999999999</v>
      </c>
      <c r="M10" s="19">
        <v>2.6541899999999998</v>
      </c>
      <c r="N10" s="13" t="s">
        <v>264</v>
      </c>
      <c r="O10" s="12" t="s">
        <v>265</v>
      </c>
      <c r="P10" s="12" t="s">
        <v>266</v>
      </c>
    </row>
    <row r="11" spans="1:16" s="12" customFormat="1" x14ac:dyDescent="0.4">
      <c r="A11" s="12" t="s">
        <v>267</v>
      </c>
      <c r="B11" s="13" t="s">
        <v>268</v>
      </c>
      <c r="C11" s="13" t="s">
        <v>269</v>
      </c>
      <c r="D11" s="13" t="s">
        <v>270</v>
      </c>
      <c r="E11" s="12" t="s">
        <v>60</v>
      </c>
      <c r="F11" s="16" t="s">
        <v>43</v>
      </c>
      <c r="G11" s="18">
        <v>14.37</v>
      </c>
      <c r="H11" s="18">
        <v>13.65</v>
      </c>
      <c r="I11" s="18">
        <v>13.48</v>
      </c>
      <c r="J11" s="18">
        <v>12.85</v>
      </c>
      <c r="K11" s="18">
        <v>12.97</v>
      </c>
      <c r="L11" s="18">
        <v>11.68</v>
      </c>
      <c r="M11" s="18">
        <v>13.48</v>
      </c>
      <c r="N11" s="13" t="s">
        <v>271</v>
      </c>
      <c r="O11" s="12" t="s">
        <v>272</v>
      </c>
      <c r="P11" s="12" t="s">
        <v>273</v>
      </c>
    </row>
    <row r="12" spans="1:16" s="12" customFormat="1" x14ac:dyDescent="0.4">
      <c r="A12" s="12" t="s">
        <v>274</v>
      </c>
      <c r="B12" s="13" t="s">
        <v>275</v>
      </c>
      <c r="C12" s="13" t="s">
        <v>276</v>
      </c>
      <c r="D12" s="13" t="s">
        <v>277</v>
      </c>
      <c r="E12" s="12" t="s">
        <v>60</v>
      </c>
      <c r="F12" s="16" t="s">
        <v>43</v>
      </c>
      <c r="G12" s="18">
        <v>4.0999999999999996</v>
      </c>
      <c r="H12" s="18">
        <v>3.69</v>
      </c>
      <c r="I12" s="18">
        <v>3.16</v>
      </c>
      <c r="J12" s="18">
        <v>3.59</v>
      </c>
      <c r="K12" s="18">
        <v>3.2</v>
      </c>
      <c r="L12" s="18">
        <v>2.82</v>
      </c>
      <c r="M12" s="18">
        <v>1.82</v>
      </c>
      <c r="N12" s="13" t="s">
        <v>222</v>
      </c>
      <c r="O12" s="12" t="s">
        <v>278</v>
      </c>
      <c r="P12" s="12" t="s">
        <v>279</v>
      </c>
    </row>
    <row r="13" spans="1:16" s="12" customFormat="1" x14ac:dyDescent="0.4">
      <c r="A13" s="12" t="s">
        <v>280</v>
      </c>
      <c r="B13" s="13" t="s">
        <v>281</v>
      </c>
      <c r="C13" s="13" t="s">
        <v>282</v>
      </c>
      <c r="D13" s="13" t="s">
        <v>283</v>
      </c>
      <c r="E13" s="12" t="s">
        <v>60</v>
      </c>
      <c r="F13" s="16" t="s">
        <v>43</v>
      </c>
      <c r="G13" s="15">
        <v>3.76</v>
      </c>
      <c r="H13" s="15">
        <v>5.84</v>
      </c>
      <c r="I13" s="15">
        <v>1.97</v>
      </c>
      <c r="J13" s="15">
        <v>2.52</v>
      </c>
      <c r="K13" s="15">
        <v>2.23</v>
      </c>
      <c r="L13" s="15">
        <v>6.07</v>
      </c>
      <c r="M13" s="15">
        <v>2.9</v>
      </c>
      <c r="N13" s="13" t="s">
        <v>81</v>
      </c>
      <c r="O13" s="12" t="s">
        <v>284</v>
      </c>
      <c r="P13" s="12" t="s">
        <v>285</v>
      </c>
    </row>
    <row r="14" spans="1:16" s="12" customFormat="1" x14ac:dyDescent="0.4">
      <c r="A14" s="12" t="s">
        <v>286</v>
      </c>
      <c r="B14" s="13" t="s">
        <v>287</v>
      </c>
      <c r="C14" s="13" t="s">
        <v>288</v>
      </c>
      <c r="D14" s="13" t="s">
        <v>289</v>
      </c>
      <c r="E14" s="12" t="s">
        <v>60</v>
      </c>
      <c r="F14" s="16" t="s">
        <v>43</v>
      </c>
      <c r="G14" s="15">
        <v>1.61</v>
      </c>
      <c r="H14" s="15">
        <v>0.39</v>
      </c>
      <c r="I14" s="15">
        <v>0.59</v>
      </c>
      <c r="J14" s="15">
        <v>0.43</v>
      </c>
      <c r="K14" s="15">
        <v>1.34</v>
      </c>
      <c r="L14" s="15">
        <v>1.08</v>
      </c>
      <c r="M14" s="15">
        <v>0.67</v>
      </c>
      <c r="N14" s="13" t="s">
        <v>222</v>
      </c>
      <c r="O14" s="12" t="s">
        <v>290</v>
      </c>
      <c r="P14" s="12" t="s">
        <v>291</v>
      </c>
    </row>
    <row r="15" spans="1:16" s="12" customFormat="1" ht="29.15" customHeight="1" x14ac:dyDescent="0.4">
      <c r="A15" s="12" t="s">
        <v>292</v>
      </c>
      <c r="B15" s="13" t="s">
        <v>293</v>
      </c>
      <c r="C15" s="13" t="s">
        <v>294</v>
      </c>
      <c r="D15" s="13" t="s">
        <v>295</v>
      </c>
      <c r="E15" s="12" t="s">
        <v>296</v>
      </c>
      <c r="F15" s="16" t="s">
        <v>43</v>
      </c>
      <c r="G15" s="15">
        <v>12255</v>
      </c>
      <c r="H15" s="15">
        <v>12617</v>
      </c>
      <c r="I15" s="15">
        <v>12965</v>
      </c>
      <c r="J15" s="15">
        <v>13321</v>
      </c>
      <c r="K15" s="15">
        <v>13689</v>
      </c>
      <c r="L15" s="15">
        <v>14048</v>
      </c>
      <c r="M15" s="15">
        <v>14390</v>
      </c>
      <c r="N15" s="13" t="s">
        <v>297</v>
      </c>
      <c r="O15" s="12" t="s">
        <v>298</v>
      </c>
      <c r="P15" s="12" t="s">
        <v>299</v>
      </c>
    </row>
    <row r="16" spans="1:16" s="12" customFormat="1" x14ac:dyDescent="0.4">
      <c r="A16" s="12" t="s">
        <v>300</v>
      </c>
      <c r="B16" s="13" t="s">
        <v>301</v>
      </c>
      <c r="C16" s="13" t="s">
        <v>294</v>
      </c>
      <c r="D16" s="13" t="s">
        <v>302</v>
      </c>
      <c r="E16" s="12" t="s">
        <v>296</v>
      </c>
      <c r="F16" s="16" t="s">
        <v>43</v>
      </c>
      <c r="G16" s="15">
        <v>6158</v>
      </c>
      <c r="H16" s="15">
        <v>6385</v>
      </c>
      <c r="I16" s="15">
        <v>6615</v>
      </c>
      <c r="J16" s="15">
        <v>6864</v>
      </c>
      <c r="K16" s="15">
        <v>7136</v>
      </c>
      <c r="L16" s="15">
        <v>7413</v>
      </c>
      <c r="M16" s="15">
        <v>7694</v>
      </c>
      <c r="N16" s="13" t="s">
        <v>303</v>
      </c>
      <c r="O16" s="12" t="s">
        <v>304</v>
      </c>
      <c r="P16" s="12" t="s">
        <v>305</v>
      </c>
    </row>
    <row r="17" spans="1:16" s="12" customFormat="1" ht="29.15" customHeight="1" x14ac:dyDescent="0.4">
      <c r="A17" s="12" t="s">
        <v>306</v>
      </c>
      <c r="B17" s="13" t="s">
        <v>307</v>
      </c>
      <c r="C17" s="13" t="s">
        <v>308</v>
      </c>
      <c r="D17" s="13" t="s">
        <v>309</v>
      </c>
      <c r="E17" s="12" t="s">
        <v>310</v>
      </c>
      <c r="F17" s="17" t="s">
        <v>108</v>
      </c>
      <c r="G17" s="15" t="s">
        <v>311</v>
      </c>
      <c r="H17" s="15" t="s">
        <v>311</v>
      </c>
      <c r="I17" s="15" t="s">
        <v>312</v>
      </c>
      <c r="J17" s="15" t="s">
        <v>313</v>
      </c>
      <c r="K17" s="15" t="s">
        <v>314</v>
      </c>
      <c r="L17" s="15" t="s">
        <v>315</v>
      </c>
      <c r="M17" s="15" t="s">
        <v>316</v>
      </c>
      <c r="N17" s="13" t="s">
        <v>317</v>
      </c>
      <c r="O17" s="12" t="s">
        <v>318</v>
      </c>
      <c r="P17" s="12" t="s">
        <v>319</v>
      </c>
    </row>
    <row r="18" spans="1:16" s="12" customFormat="1" ht="29.15" customHeight="1" x14ac:dyDescent="0.4">
      <c r="A18" s="12" t="s">
        <v>320</v>
      </c>
      <c r="B18" s="13" t="s">
        <v>321</v>
      </c>
      <c r="C18" s="13" t="s">
        <v>322</v>
      </c>
      <c r="D18" s="13" t="s">
        <v>323</v>
      </c>
      <c r="E18" s="12" t="s">
        <v>29</v>
      </c>
      <c r="F18" s="17" t="s">
        <v>108</v>
      </c>
      <c r="G18" s="15">
        <v>6.34</v>
      </c>
      <c r="H18" s="15">
        <v>7.23</v>
      </c>
      <c r="I18" s="15">
        <v>6.56</v>
      </c>
      <c r="J18" s="15">
        <v>6.35</v>
      </c>
      <c r="K18" s="15">
        <v>4.9800000000000004</v>
      </c>
      <c r="L18" s="15">
        <v>4.76</v>
      </c>
      <c r="M18" s="15">
        <v>3.27</v>
      </c>
      <c r="N18" s="13" t="s">
        <v>324</v>
      </c>
      <c r="O18" s="12" t="s">
        <v>325</v>
      </c>
      <c r="P18" s="12" t="s">
        <v>326</v>
      </c>
    </row>
    <row r="19" spans="1:16" s="12" customFormat="1" x14ac:dyDescent="0.4">
      <c r="A19" s="12" t="s">
        <v>327</v>
      </c>
      <c r="B19" s="13" t="s">
        <v>328</v>
      </c>
      <c r="C19" s="13" t="s">
        <v>322</v>
      </c>
      <c r="D19" s="13" t="s">
        <v>329</v>
      </c>
      <c r="E19" s="12" t="s">
        <v>29</v>
      </c>
      <c r="F19" s="17" t="s">
        <v>108</v>
      </c>
      <c r="G19" s="15">
        <v>0.73</v>
      </c>
      <c r="H19" s="15">
        <v>0.67</v>
      </c>
      <c r="I19" s="15">
        <v>0.94</v>
      </c>
      <c r="J19" s="15">
        <v>0.84</v>
      </c>
      <c r="K19" s="15">
        <v>0.69</v>
      </c>
      <c r="L19" s="15">
        <v>0.57999999999999996</v>
      </c>
      <c r="M19" s="15">
        <v>5.55</v>
      </c>
      <c r="N19" s="13" t="s">
        <v>330</v>
      </c>
      <c r="O19" s="12" t="s">
        <v>331</v>
      </c>
      <c r="P19" s="12" t="s">
        <v>332</v>
      </c>
    </row>
  </sheetData>
  <dataValidations count="1">
    <dataValidation type="decimal" allowBlank="1" showErrorMessage="1" errorTitle="Growth rate out of range" error="Growth rate out of range (must be between -100 and 100)." sqref="G10:M10" xr:uid="{00000000-0002-0000-0100-000000000000}">
      <formula1>-100</formula1>
      <formula2>100</formula2>
    </dataValidation>
  </dataValidations>
  <pageMargins left="0.75" right="0.75" top="1" bottom="1" header="0.5" footer="0.5"/>
  <headerFooter>
    <oddFooter>&amp;R&amp;"Aptos"&amp;10 &amp;K000000_x000D_#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6"/>
  <sheetViews>
    <sheetView workbookViewId="0">
      <pane xSplit="3" ySplit="1" topLeftCell="E5" activePane="bottomRight" state="frozen"/>
      <selection pane="topRight" activeCell="D1" sqref="D1"/>
      <selection pane="bottomLeft" activeCell="A2" sqref="A2"/>
      <selection pane="bottomRight" activeCell="G10" sqref="G10:M10"/>
    </sheetView>
  </sheetViews>
  <sheetFormatPr defaultRowHeight="14.6" x14ac:dyDescent="0.4"/>
  <cols>
    <col min="1" max="1" width="7" customWidth="1"/>
    <col min="2" max="2" width="30" customWidth="1"/>
    <col min="3" max="3" width="46" customWidth="1"/>
    <col min="4" max="4" width="30" customWidth="1"/>
    <col min="5" max="5" width="16" customWidth="1"/>
    <col min="6" max="6" width="9" customWidth="1"/>
    <col min="7" max="13" width="10" customWidth="1"/>
    <col min="14" max="14" width="44" customWidth="1"/>
    <col min="15" max="16" width="30" customWidth="1"/>
  </cols>
  <sheetData>
    <row r="1" spans="1:16" ht="32.049999999999997" customHeight="1" x14ac:dyDescent="0.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x14ac:dyDescent="0.4">
      <c r="A2" t="s">
        <v>16</v>
      </c>
      <c r="B2" s="2" t="s">
        <v>17</v>
      </c>
      <c r="C2" s="2" t="s">
        <v>18</v>
      </c>
      <c r="D2" s="2" t="s">
        <v>19</v>
      </c>
      <c r="E2" t="s">
        <v>20</v>
      </c>
      <c r="F2" s="4" t="s">
        <v>21</v>
      </c>
      <c r="G2" s="5">
        <v>6196.2</v>
      </c>
      <c r="H2" s="5">
        <v>7112.2</v>
      </c>
      <c r="I2" s="5">
        <v>8159.7</v>
      </c>
      <c r="J2" s="5">
        <v>9597.7000000000007</v>
      </c>
      <c r="K2" s="5">
        <v>11798.2</v>
      </c>
      <c r="L2" s="5">
        <v>14567.4</v>
      </c>
      <c r="M2" s="5">
        <v>17952.5</v>
      </c>
      <c r="N2" s="2" t="s">
        <v>22</v>
      </c>
      <c r="O2" t="s">
        <v>23</v>
      </c>
      <c r="P2" t="s">
        <v>24</v>
      </c>
    </row>
    <row r="3" spans="1:16" x14ac:dyDescent="0.4">
      <c r="A3" t="s">
        <v>25</v>
      </c>
      <c r="B3" s="2" t="s">
        <v>26</v>
      </c>
      <c r="C3" s="2" t="s">
        <v>27</v>
      </c>
      <c r="D3" s="2" t="s">
        <v>28</v>
      </c>
      <c r="E3" t="s">
        <v>29</v>
      </c>
      <c r="F3" s="4" t="s">
        <v>21</v>
      </c>
      <c r="G3" s="5">
        <v>-0.69</v>
      </c>
      <c r="H3" s="5">
        <v>7.32</v>
      </c>
      <c r="I3" s="5">
        <v>8.4</v>
      </c>
      <c r="J3" s="5">
        <v>18.8</v>
      </c>
      <c r="K3" s="5">
        <v>26.94</v>
      </c>
      <c r="L3" s="5">
        <v>20.21</v>
      </c>
      <c r="M3" s="5">
        <v>34.130000000000003</v>
      </c>
      <c r="N3" s="2" t="s">
        <v>30</v>
      </c>
      <c r="O3" t="s">
        <v>31</v>
      </c>
      <c r="P3" t="s">
        <v>32</v>
      </c>
    </row>
    <row r="4" spans="1:16" x14ac:dyDescent="0.4">
      <c r="A4" t="s">
        <v>33</v>
      </c>
      <c r="B4" s="2" t="s">
        <v>34</v>
      </c>
      <c r="C4" s="2" t="s">
        <v>35</v>
      </c>
      <c r="D4" s="2" t="s">
        <v>36</v>
      </c>
      <c r="E4" t="s">
        <v>37</v>
      </c>
      <c r="F4" s="4" t="s">
        <v>21</v>
      </c>
      <c r="G4" s="5">
        <v>220.5</v>
      </c>
      <c r="H4" s="5">
        <v>184.9</v>
      </c>
      <c r="I4" s="5">
        <v>198</v>
      </c>
      <c r="J4" s="5">
        <v>250.8</v>
      </c>
      <c r="K4" s="5">
        <v>255.8</v>
      </c>
      <c r="L4" s="5">
        <v>230.4</v>
      </c>
      <c r="M4" s="5">
        <v>406.9</v>
      </c>
      <c r="N4" s="2" t="s">
        <v>38</v>
      </c>
      <c r="O4" t="s">
        <v>39</v>
      </c>
      <c r="P4" t="s">
        <v>40</v>
      </c>
    </row>
    <row r="5" spans="1:16" x14ac:dyDescent="0.4">
      <c r="A5" t="s">
        <v>41</v>
      </c>
      <c r="B5" s="2" t="s">
        <v>42</v>
      </c>
      <c r="C5" s="2" t="s">
        <v>35</v>
      </c>
      <c r="D5" s="2"/>
      <c r="E5" t="s">
        <v>37</v>
      </c>
      <c r="F5" s="6" t="s">
        <v>43</v>
      </c>
      <c r="G5" s="5">
        <v>299.10000000000002</v>
      </c>
      <c r="H5" s="5">
        <v>270.5</v>
      </c>
      <c r="I5" s="5">
        <v>307</v>
      </c>
      <c r="J5" s="5">
        <v>339.8</v>
      </c>
      <c r="K5" s="5">
        <v>373.8</v>
      </c>
      <c r="L5" s="5">
        <v>351.4</v>
      </c>
      <c r="M5" s="5">
        <v>555</v>
      </c>
      <c r="N5" s="2" t="s">
        <v>44</v>
      </c>
      <c r="O5" t="s">
        <v>45</v>
      </c>
      <c r="P5" t="s">
        <v>46</v>
      </c>
    </row>
    <row r="6" spans="1:16" x14ac:dyDescent="0.4">
      <c r="A6" t="s">
        <v>47</v>
      </c>
      <c r="B6" s="2" t="s">
        <v>48</v>
      </c>
      <c r="C6" s="2" t="s">
        <v>35</v>
      </c>
      <c r="D6" s="2" t="s">
        <v>49</v>
      </c>
      <c r="E6" t="s">
        <v>37</v>
      </c>
      <c r="F6" s="4" t="s">
        <v>21</v>
      </c>
      <c r="G6" s="5">
        <v>759.3</v>
      </c>
      <c r="H6" s="5">
        <v>784.7</v>
      </c>
      <c r="I6" s="5">
        <v>878.6</v>
      </c>
      <c r="J6" s="5">
        <v>1070.0999999999999</v>
      </c>
      <c r="K6" s="5">
        <v>1064.4000000000001</v>
      </c>
      <c r="L6" s="5">
        <v>959.1</v>
      </c>
      <c r="M6" s="5">
        <v>1095.4000000000001</v>
      </c>
      <c r="N6" s="2" t="s">
        <v>44</v>
      </c>
      <c r="O6" t="s">
        <v>50</v>
      </c>
      <c r="P6" t="s">
        <v>51</v>
      </c>
    </row>
    <row r="7" spans="1:16" x14ac:dyDescent="0.4">
      <c r="A7" t="s">
        <v>52</v>
      </c>
      <c r="B7" s="2" t="s">
        <v>53</v>
      </c>
      <c r="C7" s="2" t="s">
        <v>35</v>
      </c>
      <c r="D7" s="2"/>
      <c r="E7" t="s">
        <v>37</v>
      </c>
      <c r="F7" s="6" t="s">
        <v>43</v>
      </c>
      <c r="G7" s="5">
        <v>1015.3</v>
      </c>
      <c r="H7" s="5">
        <v>1026.0999999999999</v>
      </c>
      <c r="I7" s="5">
        <v>1165.8</v>
      </c>
      <c r="J7" s="5">
        <v>1419.1</v>
      </c>
      <c r="K7" s="5">
        <v>1429.5</v>
      </c>
      <c r="L7" s="5">
        <v>1320</v>
      </c>
      <c r="M7" s="5">
        <v>1501.7</v>
      </c>
      <c r="N7" s="2" t="s">
        <v>44</v>
      </c>
      <c r="O7" t="s">
        <v>54</v>
      </c>
      <c r="P7" t="s">
        <v>55</v>
      </c>
    </row>
    <row r="8" spans="1:16" x14ac:dyDescent="0.4">
      <c r="A8" t="s">
        <v>56</v>
      </c>
      <c r="B8" s="2" t="s">
        <v>57</v>
      </c>
      <c r="C8" s="2" t="s">
        <v>58</v>
      </c>
      <c r="D8" s="2" t="s">
        <v>59</v>
      </c>
      <c r="E8" t="s">
        <v>60</v>
      </c>
      <c r="F8" s="4" t="s">
        <v>21</v>
      </c>
      <c r="G8" s="5">
        <v>-11.7</v>
      </c>
      <c r="H8" s="5">
        <v>-9.34</v>
      </c>
      <c r="I8" s="5">
        <v>-9.6199999999999992</v>
      </c>
      <c r="J8" s="5">
        <v>-13.18</v>
      </c>
      <c r="K8" s="5">
        <v>-12.78</v>
      </c>
      <c r="L8" s="5">
        <v>-8.2100000000000009</v>
      </c>
      <c r="M8" s="5">
        <v>-6.38</v>
      </c>
      <c r="N8" s="2" t="s">
        <v>61</v>
      </c>
      <c r="O8" t="s">
        <v>62</v>
      </c>
      <c r="P8" t="s">
        <v>63</v>
      </c>
    </row>
    <row r="9" spans="1:16" x14ac:dyDescent="0.4">
      <c r="A9" t="s">
        <v>64</v>
      </c>
      <c r="B9" s="2" t="s">
        <v>65</v>
      </c>
      <c r="C9" s="2" t="s">
        <v>66</v>
      </c>
      <c r="D9" s="2" t="s">
        <v>67</v>
      </c>
      <c r="E9" t="s">
        <v>60</v>
      </c>
      <c r="F9" s="4" t="s">
        <v>21</v>
      </c>
      <c r="G9" s="5">
        <v>16.420000000000002</v>
      </c>
      <c r="H9" s="5">
        <v>14.74</v>
      </c>
      <c r="I9" s="5">
        <v>16.41</v>
      </c>
      <c r="J9" s="5">
        <v>16.55</v>
      </c>
      <c r="K9" s="5">
        <v>14.95</v>
      </c>
      <c r="L9" s="5">
        <v>15.32</v>
      </c>
      <c r="M9" s="5">
        <v>13.42</v>
      </c>
      <c r="N9" s="2" t="s">
        <v>68</v>
      </c>
      <c r="O9" t="s">
        <v>69</v>
      </c>
      <c r="P9" t="s">
        <v>70</v>
      </c>
    </row>
    <row r="10" spans="1:16" x14ac:dyDescent="0.4">
      <c r="A10" t="s">
        <v>71</v>
      </c>
      <c r="B10" s="2" t="s">
        <v>72</v>
      </c>
      <c r="C10" s="2" t="s">
        <v>73</v>
      </c>
      <c r="D10" s="2" t="s">
        <v>74</v>
      </c>
      <c r="E10" t="s">
        <v>37</v>
      </c>
      <c r="F10" s="6" t="s">
        <v>43</v>
      </c>
      <c r="G10" s="5">
        <v>628.70000000000005</v>
      </c>
      <c r="H10" s="5">
        <v>665.1</v>
      </c>
      <c r="I10" s="5">
        <v>976</v>
      </c>
      <c r="J10" s="5">
        <v>946.9</v>
      </c>
      <c r="K10" s="5">
        <v>1033.7</v>
      </c>
      <c r="L10" s="5">
        <v>1023.9</v>
      </c>
      <c r="M10" s="5"/>
      <c r="N10" s="2" t="s">
        <v>75</v>
      </c>
      <c r="O10" t="s">
        <v>76</v>
      </c>
      <c r="P10" t="s">
        <v>77</v>
      </c>
    </row>
    <row r="11" spans="1:16" x14ac:dyDescent="0.4">
      <c r="A11" t="s">
        <v>78</v>
      </c>
      <c r="B11" s="2" t="s">
        <v>79</v>
      </c>
      <c r="C11" s="2"/>
      <c r="D11" s="2" t="s">
        <v>80</v>
      </c>
      <c r="E11" t="s">
        <v>60</v>
      </c>
      <c r="F11" s="6" t="s">
        <v>43</v>
      </c>
      <c r="G11" s="5">
        <v>37.4</v>
      </c>
      <c r="H11" s="5">
        <v>40.08</v>
      </c>
      <c r="I11" s="5">
        <v>37.54</v>
      </c>
      <c r="J11" s="5">
        <v>41.73</v>
      </c>
      <c r="K11" s="5">
        <v>37.6</v>
      </c>
      <c r="L11" s="5">
        <v>33.76</v>
      </c>
      <c r="M11" s="5">
        <v>32.75</v>
      </c>
      <c r="N11" s="2" t="s">
        <v>81</v>
      </c>
      <c r="O11" t="s">
        <v>82</v>
      </c>
      <c r="P11" t="s">
        <v>83</v>
      </c>
    </row>
    <row r="12" spans="1:16" x14ac:dyDescent="0.4">
      <c r="A12" t="s">
        <v>84</v>
      </c>
      <c r="B12" s="2" t="s">
        <v>85</v>
      </c>
      <c r="C12" s="2" t="s">
        <v>86</v>
      </c>
      <c r="D12" s="2" t="s">
        <v>87</v>
      </c>
      <c r="E12" t="s">
        <v>60</v>
      </c>
      <c r="F12" s="4" t="s">
        <v>21</v>
      </c>
      <c r="G12" s="20">
        <v>13.07</v>
      </c>
      <c r="H12" s="20">
        <v>10.59</v>
      </c>
      <c r="I12" s="20">
        <v>12.13</v>
      </c>
      <c r="J12" s="20">
        <v>12.39</v>
      </c>
      <c r="K12" s="20">
        <v>12.02</v>
      </c>
      <c r="L12" s="20">
        <v>10.64</v>
      </c>
      <c r="M12" s="20"/>
      <c r="N12" s="2" t="s">
        <v>88</v>
      </c>
      <c r="O12" t="s">
        <v>89</v>
      </c>
      <c r="P12" t="s">
        <v>90</v>
      </c>
    </row>
    <row r="13" spans="1:16" x14ac:dyDescent="0.4">
      <c r="A13" t="s">
        <v>91</v>
      </c>
      <c r="B13" s="2" t="s">
        <v>92</v>
      </c>
      <c r="C13" s="2" t="s">
        <v>93</v>
      </c>
      <c r="D13" s="2" t="s">
        <v>94</v>
      </c>
      <c r="E13" t="s">
        <v>60</v>
      </c>
      <c r="F13" s="4" t="s">
        <v>21</v>
      </c>
      <c r="G13" s="20">
        <v>87.2</v>
      </c>
      <c r="H13" s="20">
        <v>84.46</v>
      </c>
      <c r="I13" s="20">
        <v>84.52</v>
      </c>
      <c r="J13" s="20">
        <v>83.48</v>
      </c>
      <c r="K13" s="20">
        <v>85.24</v>
      </c>
      <c r="L13" s="20">
        <v>86.08</v>
      </c>
      <c r="M13" s="20"/>
      <c r="N13" s="2" t="s">
        <v>88</v>
      </c>
      <c r="O13" t="s">
        <v>95</v>
      </c>
      <c r="P13" t="s">
        <v>96</v>
      </c>
    </row>
    <row r="14" spans="1:16" s="12" customFormat="1" ht="29.15" customHeight="1" x14ac:dyDescent="0.4">
      <c r="A14" s="12" t="s">
        <v>97</v>
      </c>
      <c r="B14" s="13" t="s">
        <v>98</v>
      </c>
      <c r="C14" s="13" t="s">
        <v>99</v>
      </c>
      <c r="D14" s="13" t="s">
        <v>100</v>
      </c>
      <c r="E14" s="12" t="s">
        <v>60</v>
      </c>
      <c r="F14" s="16" t="s">
        <v>43</v>
      </c>
      <c r="G14" s="10">
        <v>20.32</v>
      </c>
      <c r="H14" s="10">
        <v>23.38</v>
      </c>
      <c r="I14" s="10">
        <v>22.95</v>
      </c>
      <c r="J14" s="10">
        <v>23.1</v>
      </c>
      <c r="K14" s="10">
        <v>22.75</v>
      </c>
      <c r="L14" s="10">
        <v>23.39</v>
      </c>
      <c r="M14" s="10"/>
      <c r="N14" s="13" t="s">
        <v>101</v>
      </c>
      <c r="O14" s="12" t="s">
        <v>102</v>
      </c>
      <c r="P14" s="12" t="s">
        <v>103</v>
      </c>
    </row>
    <row r="15" spans="1:16" x14ac:dyDescent="0.4">
      <c r="A15" t="s">
        <v>104</v>
      </c>
      <c r="B15" s="2" t="s">
        <v>105</v>
      </c>
      <c r="C15" s="2" t="s">
        <v>106</v>
      </c>
      <c r="D15" s="2" t="s">
        <v>107</v>
      </c>
      <c r="E15" t="s">
        <v>29</v>
      </c>
      <c r="F15" s="7" t="s">
        <v>108</v>
      </c>
      <c r="G15" s="5">
        <v>1.04</v>
      </c>
      <c r="H15" s="5">
        <v>1.03</v>
      </c>
      <c r="I15" s="5">
        <v>1.1200000000000001</v>
      </c>
      <c r="J15" s="5">
        <v>0.91</v>
      </c>
      <c r="K15" s="5">
        <v>0.91</v>
      </c>
      <c r="L15" s="5">
        <v>0.92</v>
      </c>
      <c r="M15" s="5">
        <v>0.92</v>
      </c>
      <c r="N15" s="2" t="s">
        <v>109</v>
      </c>
      <c r="O15" t="s">
        <v>110</v>
      </c>
      <c r="P15" t="s">
        <v>111</v>
      </c>
    </row>
    <row r="16" spans="1:16" x14ac:dyDescent="0.4">
      <c r="A16" t="s">
        <v>112</v>
      </c>
      <c r="B16" s="2" t="s">
        <v>113</v>
      </c>
      <c r="C16" s="2" t="s">
        <v>114</v>
      </c>
      <c r="D16" s="2" t="s">
        <v>115</v>
      </c>
      <c r="E16" t="s">
        <v>116</v>
      </c>
      <c r="F16" s="7" t="s">
        <v>108</v>
      </c>
      <c r="G16" s="5">
        <v>6.31</v>
      </c>
      <c r="H16" s="5">
        <v>9.0399999999999991</v>
      </c>
      <c r="I16" s="5">
        <v>1.01</v>
      </c>
      <c r="J16" s="5">
        <v>12.06</v>
      </c>
      <c r="K16" s="5">
        <v>31.11</v>
      </c>
      <c r="L16" s="5">
        <v>30.64</v>
      </c>
      <c r="M16" s="5">
        <v>12.34</v>
      </c>
      <c r="N16" s="2" t="s">
        <v>117</v>
      </c>
      <c r="O16" t="s">
        <v>118</v>
      </c>
      <c r="P16" t="s">
        <v>119</v>
      </c>
    </row>
    <row r="17" spans="1:16" x14ac:dyDescent="0.4">
      <c r="A17" t="s">
        <v>120</v>
      </c>
      <c r="B17" s="2" t="s">
        <v>121</v>
      </c>
      <c r="C17" s="2" t="s">
        <v>122</v>
      </c>
      <c r="D17" s="2" t="s">
        <v>123</v>
      </c>
      <c r="E17" t="s">
        <v>37</v>
      </c>
      <c r="F17" s="6" t="s">
        <v>43</v>
      </c>
      <c r="G17" s="5">
        <v>30.3</v>
      </c>
      <c r="H17" s="5">
        <v>21.2</v>
      </c>
      <c r="I17" s="5">
        <v>22.4</v>
      </c>
      <c r="J17" s="5">
        <v>25.2</v>
      </c>
      <c r="K17" s="5">
        <v>34</v>
      </c>
      <c r="L17" s="5">
        <v>33.299999999999997</v>
      </c>
      <c r="M17" s="5">
        <v>35.1</v>
      </c>
      <c r="N17" s="2" t="s">
        <v>124</v>
      </c>
      <c r="O17" t="s">
        <v>125</v>
      </c>
      <c r="P17" t="s">
        <v>126</v>
      </c>
    </row>
    <row r="18" spans="1:16" x14ac:dyDescent="0.4">
      <c r="A18" t="s">
        <v>127</v>
      </c>
      <c r="B18" s="2" t="s">
        <v>128</v>
      </c>
      <c r="C18" s="2" t="s">
        <v>129</v>
      </c>
      <c r="D18" s="2" t="s">
        <v>130</v>
      </c>
      <c r="E18" t="s">
        <v>37</v>
      </c>
      <c r="F18" s="6" t="s">
        <v>43</v>
      </c>
      <c r="G18" s="5">
        <v>91.6</v>
      </c>
      <c r="H18" s="5">
        <v>145.30000000000001</v>
      </c>
      <c r="I18" s="5">
        <v>168</v>
      </c>
      <c r="J18" s="5">
        <v>163.4</v>
      </c>
      <c r="K18" s="5">
        <v>195.7</v>
      </c>
      <c r="L18" s="5">
        <v>236.9</v>
      </c>
      <c r="M18" s="5">
        <v>273.10000000000002</v>
      </c>
      <c r="N18" s="2" t="s">
        <v>131</v>
      </c>
      <c r="O18" t="s">
        <v>132</v>
      </c>
      <c r="P18" t="s">
        <v>133</v>
      </c>
    </row>
    <row r="19" spans="1:16" x14ac:dyDescent="0.4">
      <c r="A19" t="s">
        <v>134</v>
      </c>
      <c r="B19" s="2" t="s">
        <v>135</v>
      </c>
      <c r="C19" s="2" t="s">
        <v>136</v>
      </c>
      <c r="D19" s="2" t="s">
        <v>137</v>
      </c>
      <c r="E19" t="s">
        <v>37</v>
      </c>
      <c r="F19" s="6" t="s">
        <v>43</v>
      </c>
      <c r="G19" s="5">
        <v>111.4</v>
      </c>
      <c r="H19" s="5">
        <v>90.3</v>
      </c>
      <c r="I19" s="5">
        <v>266.2</v>
      </c>
      <c r="J19" s="5">
        <v>158.5</v>
      </c>
      <c r="K19" s="5">
        <v>90.3</v>
      </c>
      <c r="L19" s="5">
        <v>191.3</v>
      </c>
      <c r="M19" s="5">
        <v>213.9</v>
      </c>
      <c r="N19" s="2" t="s">
        <v>61</v>
      </c>
      <c r="O19" t="s">
        <v>138</v>
      </c>
      <c r="P19" t="s">
        <v>139</v>
      </c>
    </row>
    <row r="20" spans="1:16" x14ac:dyDescent="0.4">
      <c r="A20" t="s">
        <v>140</v>
      </c>
      <c r="B20" s="2" t="s">
        <v>141</v>
      </c>
      <c r="C20" s="2" t="s">
        <v>142</v>
      </c>
      <c r="D20" s="2" t="s">
        <v>143</v>
      </c>
      <c r="E20" t="s">
        <v>144</v>
      </c>
      <c r="F20" s="6" t="s">
        <v>43</v>
      </c>
      <c r="G20" s="5">
        <v>37.9</v>
      </c>
      <c r="H20" s="5">
        <v>30.6</v>
      </c>
      <c r="I20" s="5">
        <v>28.5</v>
      </c>
      <c r="J20" s="5">
        <v>53.9</v>
      </c>
      <c r="K20" s="5">
        <v>41.1</v>
      </c>
      <c r="L20" s="5">
        <v>30.2</v>
      </c>
      <c r="M20" s="5">
        <v>46.4</v>
      </c>
      <c r="N20" s="2" t="s">
        <v>145</v>
      </c>
      <c r="O20" t="s">
        <v>146</v>
      </c>
      <c r="P20" t="s">
        <v>147</v>
      </c>
    </row>
    <row r="21" spans="1:16" ht="29.15" customHeight="1" x14ac:dyDescent="0.4">
      <c r="A21" t="s">
        <v>148</v>
      </c>
      <c r="B21" s="2" t="s">
        <v>149</v>
      </c>
      <c r="C21" s="2" t="s">
        <v>150</v>
      </c>
      <c r="D21" s="2" t="s">
        <v>151</v>
      </c>
      <c r="E21" t="s">
        <v>37</v>
      </c>
      <c r="F21" s="6" t="s">
        <v>43</v>
      </c>
      <c r="G21" s="5">
        <v>80.099999999999994</v>
      </c>
      <c r="H21" s="5">
        <v>55</v>
      </c>
      <c r="I21" s="5">
        <v>56.2</v>
      </c>
      <c r="J21" s="5">
        <v>59.7</v>
      </c>
      <c r="K21" s="5">
        <v>79.099999999999994</v>
      </c>
      <c r="L21" s="5"/>
      <c r="M21" s="5"/>
      <c r="N21" s="2" t="s">
        <v>152</v>
      </c>
      <c r="O21" t="s">
        <v>153</v>
      </c>
      <c r="P21" t="s">
        <v>154</v>
      </c>
    </row>
    <row r="23" spans="1:16" x14ac:dyDescent="0.4">
      <c r="A23" t="s">
        <v>155</v>
      </c>
      <c r="B23" t="s">
        <v>156</v>
      </c>
      <c r="C23" t="s">
        <v>157</v>
      </c>
      <c r="E23" t="s">
        <v>158</v>
      </c>
      <c r="F23" t="s">
        <v>43</v>
      </c>
      <c r="G23">
        <v>22874</v>
      </c>
      <c r="H23">
        <v>12935</v>
      </c>
      <c r="I23">
        <v>10305</v>
      </c>
      <c r="J23">
        <v>14014</v>
      </c>
      <c r="K23">
        <v>10360</v>
      </c>
      <c r="L23">
        <v>6766</v>
      </c>
      <c r="M23">
        <v>6467</v>
      </c>
      <c r="O23" t="s">
        <v>159</v>
      </c>
      <c r="P23" t="s">
        <v>160</v>
      </c>
    </row>
    <row r="24" spans="1:16" x14ac:dyDescent="0.4">
      <c r="A24" t="s">
        <v>161</v>
      </c>
      <c r="B24" t="s">
        <v>162</v>
      </c>
      <c r="C24" t="s">
        <v>163</v>
      </c>
      <c r="E24" t="s">
        <v>37</v>
      </c>
      <c r="F24" t="s">
        <v>43</v>
      </c>
      <c r="G24">
        <v>66.900000000000006</v>
      </c>
      <c r="H24">
        <v>46</v>
      </c>
      <c r="I24">
        <v>40.6</v>
      </c>
      <c r="J24">
        <v>51.9</v>
      </c>
      <c r="K24">
        <v>75</v>
      </c>
      <c r="O24" t="s">
        <v>164</v>
      </c>
      <c r="P24" t="s">
        <v>165</v>
      </c>
    </row>
    <row r="25" spans="1:16" x14ac:dyDescent="0.4">
      <c r="A25" t="s">
        <v>166</v>
      </c>
      <c r="B25" t="s">
        <v>42</v>
      </c>
      <c r="C25" t="s">
        <v>167</v>
      </c>
      <c r="E25" t="s">
        <v>60</v>
      </c>
      <c r="F25" t="s">
        <v>43</v>
      </c>
      <c r="G25">
        <v>8.8800000000000008</v>
      </c>
      <c r="H25">
        <v>7.81</v>
      </c>
      <c r="I25">
        <v>8.59</v>
      </c>
      <c r="J25">
        <v>8.5399999999999991</v>
      </c>
      <c r="K25">
        <v>9.0399999999999991</v>
      </c>
      <c r="L25">
        <v>8.26</v>
      </c>
      <c r="O25" t="s">
        <v>168</v>
      </c>
      <c r="P25" t="s">
        <v>169</v>
      </c>
    </row>
    <row r="26" spans="1:16" x14ac:dyDescent="0.4">
      <c r="A26" t="s">
        <v>170</v>
      </c>
      <c r="B26" t="s">
        <v>53</v>
      </c>
      <c r="C26" t="s">
        <v>167</v>
      </c>
      <c r="E26" t="s">
        <v>60</v>
      </c>
      <c r="F26" t="s">
        <v>43</v>
      </c>
      <c r="G26">
        <v>30.15</v>
      </c>
      <c r="H26">
        <v>28.09</v>
      </c>
      <c r="I26">
        <v>30.11</v>
      </c>
      <c r="J26">
        <v>29.51</v>
      </c>
      <c r="K26">
        <v>30.75</v>
      </c>
      <c r="L26">
        <v>29.04</v>
      </c>
      <c r="O26" t="s">
        <v>171</v>
      </c>
      <c r="P26" t="s">
        <v>172</v>
      </c>
    </row>
  </sheetData>
  <pageMargins left="0.75" right="0.75" top="1" bottom="1" header="0.5" footer="0.5"/>
  <headerFooter>
    <oddFooter>&amp;R&amp;"Aptos"&amp;10 &amp;K000000_x000D_#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0"/>
  <sheetViews>
    <sheetView workbookViewId="0">
      <pane xSplit="2" ySplit="1" topLeftCell="D20" activePane="bottomRight" state="frozen"/>
      <selection pane="topRight" activeCell="C1" sqref="C1"/>
      <selection pane="bottomLeft" activeCell="A2" sqref="A2"/>
      <selection pane="bottomRight" activeCell="E24" sqref="E24"/>
    </sheetView>
  </sheetViews>
  <sheetFormatPr defaultRowHeight="14.6" x14ac:dyDescent="0.4"/>
  <cols>
    <col min="1" max="1" width="16" customWidth="1"/>
    <col min="2" max="2" width="40" customWidth="1"/>
    <col min="3" max="3" width="34" customWidth="1"/>
    <col min="4" max="4" width="14" customWidth="1"/>
    <col min="5" max="5" width="22" customWidth="1"/>
    <col min="6" max="12" width="11" customWidth="1"/>
    <col min="13" max="14" width="30" customWidth="1"/>
  </cols>
  <sheetData>
    <row r="1" spans="1:14" ht="32.049999999999997" customHeight="1" x14ac:dyDescent="0.4">
      <c r="A1" s="3" t="s">
        <v>333</v>
      </c>
      <c r="B1" s="3" t="s">
        <v>2</v>
      </c>
      <c r="C1" s="3" t="s">
        <v>334</v>
      </c>
      <c r="D1" s="3" t="s">
        <v>335</v>
      </c>
      <c r="E1" s="3" t="s">
        <v>336</v>
      </c>
      <c r="F1" s="3" t="s">
        <v>337</v>
      </c>
      <c r="G1" s="3" t="s">
        <v>338</v>
      </c>
      <c r="H1" s="3" t="s">
        <v>339</v>
      </c>
      <c r="I1" s="3" t="s">
        <v>340</v>
      </c>
      <c r="J1" s="3" t="s">
        <v>341</v>
      </c>
      <c r="K1" s="3" t="s">
        <v>342</v>
      </c>
      <c r="L1" s="3" t="s">
        <v>343</v>
      </c>
      <c r="M1" s="3" t="s">
        <v>14</v>
      </c>
      <c r="N1" s="3" t="s">
        <v>15</v>
      </c>
    </row>
    <row r="2" spans="1:14" ht="43.75" customHeight="1" x14ac:dyDescent="0.4">
      <c r="A2" t="s">
        <v>344</v>
      </c>
      <c r="B2" s="2" t="s">
        <v>345</v>
      </c>
      <c r="C2" s="2" t="s">
        <v>346</v>
      </c>
      <c r="D2" s="8">
        <v>41.253</v>
      </c>
      <c r="E2" s="2" t="s">
        <v>347</v>
      </c>
      <c r="F2">
        <v>2122.1</v>
      </c>
      <c r="G2">
        <v>2212.3000000000002</v>
      </c>
      <c r="H2">
        <v>2773.8</v>
      </c>
      <c r="I2">
        <v>3391</v>
      </c>
      <c r="J2">
        <v>4015.8</v>
      </c>
      <c r="K2">
        <v>5106.1000000000004</v>
      </c>
      <c r="L2">
        <v>6155.9</v>
      </c>
      <c r="M2" t="s">
        <v>348</v>
      </c>
      <c r="N2" t="s">
        <v>349</v>
      </c>
    </row>
    <row r="3" spans="1:14" ht="43.75" customHeight="1" x14ac:dyDescent="0.4">
      <c r="A3" t="s">
        <v>350</v>
      </c>
      <c r="B3" s="2" t="s">
        <v>351</v>
      </c>
      <c r="C3" s="2" t="s">
        <v>352</v>
      </c>
      <c r="D3" s="8">
        <v>2.274</v>
      </c>
      <c r="E3" s="2" t="s">
        <v>347</v>
      </c>
      <c r="F3">
        <v>70.2</v>
      </c>
      <c r="G3">
        <v>68.8</v>
      </c>
      <c r="H3">
        <v>104.6</v>
      </c>
      <c r="I3">
        <v>110.7</v>
      </c>
      <c r="J3">
        <v>135.80000000000001</v>
      </c>
      <c r="K3">
        <v>173.7</v>
      </c>
      <c r="L3">
        <v>219.3</v>
      </c>
      <c r="M3" t="s">
        <v>353</v>
      </c>
      <c r="N3" t="s">
        <v>354</v>
      </c>
    </row>
    <row r="4" spans="1:14" ht="43.75" customHeight="1" x14ac:dyDescent="0.4">
      <c r="A4" t="s">
        <v>355</v>
      </c>
      <c r="B4" s="2" t="s">
        <v>356</v>
      </c>
      <c r="C4" s="2" t="s">
        <v>357</v>
      </c>
      <c r="D4" s="8">
        <v>7.1840000000000002</v>
      </c>
      <c r="E4" s="2" t="s">
        <v>347</v>
      </c>
      <c r="F4">
        <v>793.7</v>
      </c>
      <c r="G4">
        <v>783.9</v>
      </c>
      <c r="H4">
        <v>877.7</v>
      </c>
      <c r="I4">
        <v>1078.4000000000001</v>
      </c>
      <c r="J4">
        <v>1478.8</v>
      </c>
      <c r="K4">
        <v>1785.4</v>
      </c>
      <c r="L4">
        <v>2351.6</v>
      </c>
      <c r="M4" t="s">
        <v>358</v>
      </c>
      <c r="N4" t="s">
        <v>359</v>
      </c>
    </row>
    <row r="5" spans="1:14" ht="43.75" customHeight="1" x14ac:dyDescent="0.4">
      <c r="A5" t="s">
        <v>360</v>
      </c>
      <c r="B5" s="2" t="s">
        <v>361</v>
      </c>
      <c r="C5" s="2" t="s">
        <v>357</v>
      </c>
      <c r="D5" s="8">
        <v>0.28499999999999998</v>
      </c>
      <c r="E5" s="2" t="s">
        <v>347</v>
      </c>
    </row>
    <row r="6" spans="1:14" ht="43.75" customHeight="1" x14ac:dyDescent="0.4">
      <c r="A6" t="s">
        <v>362</v>
      </c>
      <c r="B6" s="2" t="s">
        <v>363</v>
      </c>
      <c r="C6" s="2" t="s">
        <v>357</v>
      </c>
      <c r="D6" s="8">
        <v>0.52700000000000002</v>
      </c>
      <c r="E6" s="2" t="s">
        <v>347</v>
      </c>
    </row>
    <row r="7" spans="1:14" ht="43.75" customHeight="1" x14ac:dyDescent="0.4">
      <c r="A7" t="s">
        <v>364</v>
      </c>
      <c r="B7" s="2" t="s">
        <v>365</v>
      </c>
      <c r="C7" s="2" t="s">
        <v>357</v>
      </c>
      <c r="D7" s="8">
        <v>1.052</v>
      </c>
      <c r="E7" s="2" t="s">
        <v>347</v>
      </c>
    </row>
    <row r="8" spans="1:14" ht="43.75" customHeight="1" x14ac:dyDescent="0.4">
      <c r="A8" t="s">
        <v>366</v>
      </c>
      <c r="B8" s="2" t="s">
        <v>367</v>
      </c>
      <c r="C8" s="2" t="s">
        <v>357</v>
      </c>
      <c r="D8" s="8">
        <v>0.58399999999999996</v>
      </c>
      <c r="E8" s="2" t="s">
        <v>347</v>
      </c>
    </row>
    <row r="9" spans="1:14" ht="43.75" customHeight="1" x14ac:dyDescent="0.4">
      <c r="A9" t="s">
        <v>368</v>
      </c>
      <c r="B9" s="2" t="s">
        <v>369</v>
      </c>
      <c r="C9" s="2" t="s">
        <v>357</v>
      </c>
      <c r="D9" s="8">
        <v>0.38600000000000001</v>
      </c>
      <c r="E9" s="2" t="s">
        <v>347</v>
      </c>
    </row>
    <row r="10" spans="1:14" ht="43.75" customHeight="1" x14ac:dyDescent="0.4">
      <c r="A10" t="s">
        <v>370</v>
      </c>
      <c r="B10" s="2" t="s">
        <v>371</v>
      </c>
      <c r="C10" s="2" t="s">
        <v>357</v>
      </c>
      <c r="D10" s="8">
        <v>1.008</v>
      </c>
      <c r="E10" s="2" t="s">
        <v>347</v>
      </c>
    </row>
    <row r="11" spans="1:14" ht="43.75" customHeight="1" x14ac:dyDescent="0.4">
      <c r="A11" t="s">
        <v>372</v>
      </c>
      <c r="B11" s="2" t="s">
        <v>373</v>
      </c>
      <c r="C11" s="2" t="s">
        <v>352</v>
      </c>
      <c r="D11" s="8">
        <v>0.28499999999999998</v>
      </c>
      <c r="E11" s="2" t="s">
        <v>347</v>
      </c>
    </row>
    <row r="12" spans="1:14" ht="43.75" customHeight="1" x14ac:dyDescent="0.4">
      <c r="A12" t="s">
        <v>374</v>
      </c>
      <c r="B12" s="2" t="s">
        <v>375</v>
      </c>
      <c r="C12" s="2" t="s">
        <v>352</v>
      </c>
      <c r="D12" s="8">
        <v>1.1240000000000001</v>
      </c>
      <c r="E12" s="2" t="s">
        <v>347</v>
      </c>
    </row>
    <row r="13" spans="1:14" ht="43.75" customHeight="1" x14ac:dyDescent="0.4">
      <c r="A13" t="s">
        <v>376</v>
      </c>
      <c r="B13" s="2" t="s">
        <v>377</v>
      </c>
      <c r="C13" s="2" t="s">
        <v>378</v>
      </c>
      <c r="D13" s="8">
        <v>1.5529999999999999</v>
      </c>
      <c r="E13" s="2" t="s">
        <v>347</v>
      </c>
      <c r="F13">
        <v>223.2</v>
      </c>
      <c r="G13">
        <v>220.9</v>
      </c>
      <c r="H13">
        <v>334.5</v>
      </c>
      <c r="I13">
        <v>353.7</v>
      </c>
      <c r="J13">
        <v>434.7</v>
      </c>
      <c r="K13">
        <v>555.70000000000005</v>
      </c>
      <c r="L13">
        <v>701.6</v>
      </c>
      <c r="M13" t="s">
        <v>353</v>
      </c>
      <c r="N13" t="s">
        <v>379</v>
      </c>
    </row>
    <row r="14" spans="1:14" ht="43.75" customHeight="1" x14ac:dyDescent="0.4">
      <c r="A14" t="s">
        <v>380</v>
      </c>
      <c r="B14" s="2" t="s">
        <v>381</v>
      </c>
      <c r="C14" s="2" t="s">
        <v>382</v>
      </c>
      <c r="D14" s="8">
        <v>8.8840000000000003</v>
      </c>
      <c r="E14" s="2" t="s">
        <v>347</v>
      </c>
      <c r="F14">
        <v>318.2</v>
      </c>
      <c r="G14">
        <v>461.9</v>
      </c>
      <c r="H14">
        <v>467.4</v>
      </c>
      <c r="I14">
        <v>543.6</v>
      </c>
      <c r="J14">
        <v>682.8</v>
      </c>
      <c r="K14">
        <v>826.6</v>
      </c>
      <c r="L14">
        <v>988.5</v>
      </c>
      <c r="M14" t="s">
        <v>383</v>
      </c>
      <c r="N14" t="s">
        <v>384</v>
      </c>
    </row>
    <row r="15" spans="1:14" ht="43.75" customHeight="1" x14ac:dyDescent="0.4">
      <c r="A15" t="s">
        <v>385</v>
      </c>
      <c r="B15" s="2" t="s">
        <v>386</v>
      </c>
      <c r="C15" s="2" t="s">
        <v>387</v>
      </c>
      <c r="D15" s="8">
        <v>1.3640000000000001</v>
      </c>
      <c r="E15" s="2" t="s">
        <v>347</v>
      </c>
      <c r="F15">
        <v>249.8</v>
      </c>
      <c r="G15">
        <v>328.9</v>
      </c>
      <c r="H15">
        <v>344.5</v>
      </c>
      <c r="I15">
        <v>404.1</v>
      </c>
      <c r="J15">
        <v>498.8</v>
      </c>
      <c r="K15">
        <v>609.1</v>
      </c>
      <c r="L15">
        <v>728.3</v>
      </c>
      <c r="M15" t="s">
        <v>383</v>
      </c>
      <c r="N15" t="s">
        <v>388</v>
      </c>
    </row>
    <row r="16" spans="1:14" ht="43.75" customHeight="1" x14ac:dyDescent="0.4">
      <c r="A16" t="s">
        <v>389</v>
      </c>
      <c r="B16" s="2" t="s">
        <v>390</v>
      </c>
      <c r="C16" s="2" t="s">
        <v>382</v>
      </c>
      <c r="D16" s="8">
        <v>2.5089999999999999</v>
      </c>
      <c r="E16" s="2" t="s">
        <v>347</v>
      </c>
    </row>
    <row r="17" spans="1:14" ht="43.75" customHeight="1" x14ac:dyDescent="0.4">
      <c r="A17" t="s">
        <v>391</v>
      </c>
      <c r="B17" s="2" t="s">
        <v>392</v>
      </c>
      <c r="C17" s="2" t="s">
        <v>393</v>
      </c>
      <c r="D17" s="8">
        <v>4.5330000000000004</v>
      </c>
      <c r="E17" s="2" t="s">
        <v>347</v>
      </c>
      <c r="F17">
        <v>2033.8</v>
      </c>
      <c r="G17">
        <v>2607.5</v>
      </c>
      <c r="H17">
        <v>2760.1</v>
      </c>
      <c r="I17">
        <v>3244</v>
      </c>
      <c r="J17">
        <v>3985.2</v>
      </c>
      <c r="K17">
        <v>4877.8999999999996</v>
      </c>
      <c r="L17">
        <v>5833.1</v>
      </c>
      <c r="M17" t="s">
        <v>383</v>
      </c>
      <c r="N17" t="s">
        <v>394</v>
      </c>
    </row>
    <row r="18" spans="1:14" ht="43.75" customHeight="1" x14ac:dyDescent="0.4">
      <c r="A18" t="s">
        <v>395</v>
      </c>
      <c r="B18" s="2" t="s">
        <v>396</v>
      </c>
      <c r="C18" s="2" t="s">
        <v>393</v>
      </c>
      <c r="D18" s="8">
        <v>3.9359999999999999</v>
      </c>
      <c r="E18" s="2" t="s">
        <v>347</v>
      </c>
    </row>
    <row r="19" spans="1:14" ht="43.75" customHeight="1" x14ac:dyDescent="0.4">
      <c r="A19" t="s">
        <v>397</v>
      </c>
      <c r="B19" s="2" t="s">
        <v>398</v>
      </c>
      <c r="C19" s="2" t="s">
        <v>393</v>
      </c>
      <c r="D19" s="8">
        <v>1.873</v>
      </c>
      <c r="E19" s="2" t="s">
        <v>347</v>
      </c>
    </row>
    <row r="20" spans="1:14" ht="43.75" customHeight="1" x14ac:dyDescent="0.4">
      <c r="A20" t="s">
        <v>399</v>
      </c>
      <c r="B20" s="2" t="s">
        <v>400</v>
      </c>
      <c r="C20" s="2" t="s">
        <v>393</v>
      </c>
      <c r="D20" s="8">
        <v>19.385999999999999</v>
      </c>
      <c r="E20" s="2" t="s">
        <v>347</v>
      </c>
    </row>
    <row r="21" spans="1:14" x14ac:dyDescent="0.4">
      <c r="A21" t="s">
        <v>401</v>
      </c>
      <c r="B21" t="s">
        <v>402</v>
      </c>
      <c r="C21" t="s">
        <v>403</v>
      </c>
      <c r="D21" s="8">
        <v>100</v>
      </c>
      <c r="E21" t="s">
        <v>404</v>
      </c>
      <c r="F21">
        <v>5811</v>
      </c>
      <c r="G21">
        <v>6684.2</v>
      </c>
      <c r="H21">
        <v>7662.6</v>
      </c>
      <c r="I21">
        <v>9125.5</v>
      </c>
      <c r="J21">
        <v>11231.8</v>
      </c>
      <c r="K21">
        <v>13934.4</v>
      </c>
      <c r="L21">
        <v>16978.3</v>
      </c>
      <c r="M21" t="s">
        <v>405</v>
      </c>
      <c r="N21" t="s">
        <v>406</v>
      </c>
    </row>
    <row r="23" spans="1:14" ht="48" customHeight="1" x14ac:dyDescent="0.4">
      <c r="A23" s="22" t="s">
        <v>407</v>
      </c>
      <c r="B23" s="23"/>
      <c r="C23" s="23"/>
      <c r="D23" s="23"/>
      <c r="E23" s="23"/>
      <c r="F23" s="23"/>
      <c r="G23" s="23"/>
      <c r="H23" s="23"/>
    </row>
    <row r="25" spans="1:14" x14ac:dyDescent="0.4">
      <c r="A25" s="21" t="s">
        <v>408</v>
      </c>
    </row>
    <row r="26" spans="1:14" x14ac:dyDescent="0.4">
      <c r="A26" t="s">
        <v>409</v>
      </c>
      <c r="E26" t="s">
        <v>410</v>
      </c>
      <c r="F26">
        <v>2.82</v>
      </c>
      <c r="G26">
        <v>-12.88</v>
      </c>
      <c r="H26">
        <v>3.37</v>
      </c>
      <c r="I26">
        <v>2.0699999999999998</v>
      </c>
      <c r="J26">
        <v>0.49</v>
      </c>
      <c r="K26">
        <v>2.61</v>
      </c>
      <c r="L26">
        <v>1.73</v>
      </c>
      <c r="M26" t="s">
        <v>411</v>
      </c>
    </row>
    <row r="27" spans="1:14" x14ac:dyDescent="0.4">
      <c r="A27" t="s">
        <v>412</v>
      </c>
      <c r="E27" t="s">
        <v>410</v>
      </c>
      <c r="F27">
        <v>1.34</v>
      </c>
      <c r="G27">
        <v>0.35</v>
      </c>
      <c r="H27">
        <v>2.63</v>
      </c>
      <c r="I27">
        <v>3.02</v>
      </c>
      <c r="J27">
        <v>2.37</v>
      </c>
      <c r="K27">
        <v>1.7</v>
      </c>
      <c r="L27">
        <v>3.01</v>
      </c>
      <c r="M27" t="s">
        <v>413</v>
      </c>
    </row>
    <row r="28" spans="1:14" x14ac:dyDescent="0.4">
      <c r="A28" t="s">
        <v>414</v>
      </c>
      <c r="E28" t="s">
        <v>410</v>
      </c>
      <c r="F28">
        <v>0.83</v>
      </c>
      <c r="G28">
        <v>-8.5399999999999991</v>
      </c>
      <c r="H28">
        <v>1.25</v>
      </c>
      <c r="I28">
        <v>2.1800000000000002</v>
      </c>
      <c r="J28">
        <v>0.28999999999999998</v>
      </c>
      <c r="K28">
        <v>-0.33</v>
      </c>
      <c r="L28">
        <v>1.43</v>
      </c>
      <c r="M28" t="s">
        <v>415</v>
      </c>
    </row>
    <row r="29" spans="1:14" x14ac:dyDescent="0.4">
      <c r="A29" t="s">
        <v>416</v>
      </c>
      <c r="E29" t="s">
        <v>410</v>
      </c>
      <c r="F29">
        <v>6.73</v>
      </c>
      <c r="G29">
        <v>4.88</v>
      </c>
      <c r="H29">
        <v>4.28</v>
      </c>
      <c r="I29">
        <v>3.16</v>
      </c>
      <c r="J29">
        <v>5.47</v>
      </c>
      <c r="K29">
        <v>6.3</v>
      </c>
      <c r="L29">
        <v>6.52</v>
      </c>
      <c r="M29" t="s">
        <v>417</v>
      </c>
    </row>
    <row r="30" spans="1:14" x14ac:dyDescent="0.4">
      <c r="A30" t="s">
        <v>418</v>
      </c>
      <c r="E30" t="s">
        <v>410</v>
      </c>
      <c r="F30">
        <v>4.46</v>
      </c>
      <c r="G30">
        <v>0.31</v>
      </c>
      <c r="H30">
        <v>3.24</v>
      </c>
      <c r="I30">
        <v>2.3199999999999998</v>
      </c>
      <c r="J30">
        <v>3.25</v>
      </c>
      <c r="K30">
        <v>4.1100000000000003</v>
      </c>
      <c r="L30">
        <v>4.24</v>
      </c>
      <c r="M30" t="s">
        <v>419</v>
      </c>
    </row>
    <row r="32" spans="1:14" x14ac:dyDescent="0.4">
      <c r="A32" s="21" t="s">
        <v>420</v>
      </c>
    </row>
    <row r="33" spans="1:14" x14ac:dyDescent="0.4">
      <c r="A33" t="s">
        <v>421</v>
      </c>
      <c r="E33" t="s">
        <v>422</v>
      </c>
      <c r="F33">
        <v>2122.1999999999998</v>
      </c>
      <c r="G33">
        <v>2239</v>
      </c>
      <c r="H33">
        <v>2508.1</v>
      </c>
      <c r="I33">
        <v>2907.4</v>
      </c>
      <c r="J33">
        <v>3042.4</v>
      </c>
      <c r="K33">
        <v>4107.3</v>
      </c>
      <c r="M33" t="s">
        <v>423</v>
      </c>
      <c r="N33" t="s">
        <v>424</v>
      </c>
    </row>
    <row r="34" spans="1:14" x14ac:dyDescent="0.4">
      <c r="A34" t="s">
        <v>425</v>
      </c>
      <c r="E34" t="s">
        <v>422</v>
      </c>
      <c r="F34">
        <v>861.9</v>
      </c>
      <c r="G34">
        <v>902.1</v>
      </c>
      <c r="H34">
        <v>997.6</v>
      </c>
      <c r="I34">
        <v>1204.3</v>
      </c>
      <c r="J34">
        <v>1242.3</v>
      </c>
      <c r="K34">
        <v>1670.1</v>
      </c>
      <c r="M34" t="s">
        <v>426</v>
      </c>
      <c r="N34" t="s">
        <v>427</v>
      </c>
    </row>
    <row r="35" spans="1:14" x14ac:dyDescent="0.4">
      <c r="A35" t="s">
        <v>428</v>
      </c>
      <c r="E35" t="s">
        <v>422</v>
      </c>
      <c r="F35">
        <v>791.6</v>
      </c>
      <c r="G35">
        <v>830</v>
      </c>
      <c r="H35">
        <v>918.3</v>
      </c>
      <c r="I35">
        <v>1107.5999999999999</v>
      </c>
      <c r="J35">
        <v>1143</v>
      </c>
      <c r="K35">
        <v>1536.6</v>
      </c>
      <c r="M35" t="s">
        <v>429</v>
      </c>
      <c r="N35" t="s">
        <v>430</v>
      </c>
    </row>
    <row r="36" spans="1:14" x14ac:dyDescent="0.4">
      <c r="A36" t="s">
        <v>431</v>
      </c>
      <c r="E36" t="s">
        <v>422</v>
      </c>
      <c r="F36">
        <v>223.6</v>
      </c>
      <c r="G36">
        <v>231.5</v>
      </c>
      <c r="H36">
        <v>253.8</v>
      </c>
      <c r="I36">
        <v>309.3</v>
      </c>
      <c r="J36">
        <v>318</v>
      </c>
      <c r="K36">
        <v>427.1</v>
      </c>
      <c r="M36" t="s">
        <v>432</v>
      </c>
      <c r="N36" t="s">
        <v>433</v>
      </c>
    </row>
    <row r="37" spans="1:14" x14ac:dyDescent="0.4">
      <c r="A37" t="s">
        <v>434</v>
      </c>
      <c r="E37" t="s">
        <v>422</v>
      </c>
      <c r="F37">
        <v>320.89999999999998</v>
      </c>
      <c r="G37">
        <v>360.6</v>
      </c>
      <c r="H37">
        <v>382.6</v>
      </c>
      <c r="I37">
        <v>462.8</v>
      </c>
      <c r="J37">
        <v>579.9</v>
      </c>
      <c r="K37">
        <v>684.2</v>
      </c>
      <c r="M37" t="s">
        <v>435</v>
      </c>
      <c r="N37" t="s">
        <v>436</v>
      </c>
    </row>
    <row r="38" spans="1:14" x14ac:dyDescent="0.4">
      <c r="A38" t="s">
        <v>437</v>
      </c>
      <c r="E38" t="s">
        <v>422</v>
      </c>
      <c r="F38">
        <v>251.9</v>
      </c>
      <c r="G38">
        <v>256.8</v>
      </c>
      <c r="H38">
        <v>282</v>
      </c>
      <c r="I38">
        <v>344.1</v>
      </c>
      <c r="J38">
        <v>423.6</v>
      </c>
      <c r="K38">
        <v>504.1</v>
      </c>
      <c r="M38" t="s">
        <v>438</v>
      </c>
      <c r="N38" t="s">
        <v>439</v>
      </c>
    </row>
    <row r="39" spans="1:14" x14ac:dyDescent="0.4">
      <c r="A39" t="s">
        <v>440</v>
      </c>
      <c r="E39" t="s">
        <v>422</v>
      </c>
      <c r="F39">
        <v>2051.3000000000002</v>
      </c>
      <c r="G39">
        <v>2035.5</v>
      </c>
      <c r="H39">
        <v>2259.4</v>
      </c>
      <c r="I39">
        <v>2761.9</v>
      </c>
      <c r="J39">
        <v>3384.3</v>
      </c>
      <c r="K39">
        <v>4037.4</v>
      </c>
      <c r="M39" t="s">
        <v>441</v>
      </c>
      <c r="N39" t="s">
        <v>442</v>
      </c>
    </row>
    <row r="40" spans="1:14" x14ac:dyDescent="0.4">
      <c r="A40" t="s">
        <v>443</v>
      </c>
      <c r="E40" t="s">
        <v>422</v>
      </c>
      <c r="F40">
        <v>5831.8</v>
      </c>
      <c r="G40">
        <v>6004.6</v>
      </c>
      <c r="H40">
        <v>6656.1</v>
      </c>
      <c r="I40">
        <v>7975.4</v>
      </c>
      <c r="J40">
        <v>9122.5</v>
      </c>
      <c r="K40">
        <v>11430.1</v>
      </c>
      <c r="M40" t="s">
        <v>444</v>
      </c>
      <c r="N40" t="s">
        <v>445</v>
      </c>
    </row>
  </sheetData>
  <mergeCells count="1">
    <mergeCell ref="A23:H23"/>
  </mergeCells>
  <pageMargins left="0.75" right="0.75" top="1" bottom="1" header="0.5" footer="0.5"/>
  <headerFooter>
    <oddFooter>&amp;R&amp;"Aptos"&amp;10 &amp;K000000_x000D_#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2"/>
  <sheetViews>
    <sheetView workbookViewId="0">
      <pane xSplit="1" ySplit="1" topLeftCell="B2" activePane="bottomRight" state="frozen"/>
      <selection pane="topRight"/>
      <selection pane="bottomLeft"/>
      <selection pane="bottomRight" activeCell="B15" sqref="B15"/>
    </sheetView>
  </sheetViews>
  <sheetFormatPr defaultRowHeight="14.6" x14ac:dyDescent="0.4"/>
  <cols>
    <col min="1" max="1" width="16" customWidth="1"/>
    <col min="2" max="2" width="38" customWidth="1"/>
    <col min="3" max="3" width="9" customWidth="1"/>
    <col min="4" max="4" width="16" customWidth="1"/>
    <col min="5" max="5" width="12" customWidth="1"/>
    <col min="6" max="6" width="22" customWidth="1"/>
    <col min="7" max="13" width="11" customWidth="1"/>
    <col min="14" max="15" width="30" customWidth="1"/>
  </cols>
  <sheetData>
    <row r="1" spans="1:15" ht="32.049999999999997" customHeight="1" x14ac:dyDescent="0.4">
      <c r="A1" s="3" t="s">
        <v>446</v>
      </c>
      <c r="B1" s="3" t="s">
        <v>2</v>
      </c>
      <c r="C1" s="3" t="s">
        <v>447</v>
      </c>
      <c r="D1" s="3" t="s">
        <v>448</v>
      </c>
      <c r="E1" s="3" t="s">
        <v>449</v>
      </c>
      <c r="F1" s="3" t="s">
        <v>336</v>
      </c>
      <c r="G1" s="3" t="s">
        <v>337</v>
      </c>
      <c r="H1" s="3" t="s">
        <v>338</v>
      </c>
      <c r="I1" s="3" t="s">
        <v>339</v>
      </c>
      <c r="J1" s="3" t="s">
        <v>340</v>
      </c>
      <c r="K1" s="3" t="s">
        <v>341</v>
      </c>
      <c r="L1" s="3" t="s">
        <v>342</v>
      </c>
      <c r="M1" s="3" t="s">
        <v>343</v>
      </c>
      <c r="N1" s="3" t="s">
        <v>14</v>
      </c>
      <c r="O1" s="3" t="s">
        <v>15</v>
      </c>
    </row>
    <row r="2" spans="1:15" x14ac:dyDescent="0.4">
      <c r="A2" t="s">
        <v>450</v>
      </c>
      <c r="B2" s="2" t="s">
        <v>345</v>
      </c>
      <c r="C2" t="s">
        <v>451</v>
      </c>
      <c r="D2" s="8">
        <v>14.1853</v>
      </c>
      <c r="E2" s="8">
        <v>1.2549999999999999</v>
      </c>
      <c r="F2" t="s">
        <v>452</v>
      </c>
      <c r="G2">
        <v>60.65</v>
      </c>
      <c r="H2">
        <v>52.87</v>
      </c>
      <c r="I2">
        <v>54.48</v>
      </c>
      <c r="J2">
        <v>78.650000000000006</v>
      </c>
      <c r="K2">
        <v>61.81</v>
      </c>
      <c r="L2">
        <v>55.67</v>
      </c>
      <c r="M2">
        <v>98.31</v>
      </c>
      <c r="N2" t="s">
        <v>453</v>
      </c>
      <c r="O2" t="s">
        <v>454</v>
      </c>
    </row>
    <row r="3" spans="1:15" x14ac:dyDescent="0.4">
      <c r="A3" t="s">
        <v>450</v>
      </c>
      <c r="B3" s="2" t="s">
        <v>345</v>
      </c>
      <c r="C3" t="s">
        <v>455</v>
      </c>
      <c r="D3" s="8">
        <v>9.7667000000000002</v>
      </c>
      <c r="E3" s="8">
        <v>0.86399999999999999</v>
      </c>
      <c r="F3" t="s">
        <v>452</v>
      </c>
      <c r="G3">
        <v>62.65</v>
      </c>
      <c r="H3">
        <v>51.36</v>
      </c>
      <c r="I3">
        <v>59.16</v>
      </c>
      <c r="J3">
        <v>64.19</v>
      </c>
      <c r="K3">
        <v>57.9</v>
      </c>
      <c r="L3">
        <v>52.17</v>
      </c>
      <c r="M3">
        <v>59.59</v>
      </c>
      <c r="N3" t="s">
        <v>453</v>
      </c>
    </row>
    <row r="4" spans="1:15" x14ac:dyDescent="0.4">
      <c r="A4" t="s">
        <v>456</v>
      </c>
      <c r="B4" s="2" t="s">
        <v>351</v>
      </c>
      <c r="C4" t="s">
        <v>451</v>
      </c>
      <c r="D4" s="8">
        <v>16.346800000000002</v>
      </c>
      <c r="E4" s="8">
        <v>1.4470000000000001</v>
      </c>
      <c r="F4" t="s">
        <v>452</v>
      </c>
      <c r="G4">
        <v>80.09</v>
      </c>
      <c r="H4">
        <v>54.99</v>
      </c>
      <c r="I4">
        <v>56.28</v>
      </c>
      <c r="J4">
        <v>59.84</v>
      </c>
      <c r="K4">
        <v>79.099999999999994</v>
      </c>
      <c r="L4">
        <v>71.239999999999995</v>
      </c>
      <c r="M4">
        <v>125.81</v>
      </c>
      <c r="N4" t="s">
        <v>453</v>
      </c>
      <c r="O4" t="s">
        <v>457</v>
      </c>
    </row>
    <row r="5" spans="1:15" x14ac:dyDescent="0.4">
      <c r="A5" t="s">
        <v>456</v>
      </c>
      <c r="B5" s="2" t="s">
        <v>351</v>
      </c>
      <c r="C5" t="s">
        <v>455</v>
      </c>
      <c r="D5" s="8">
        <v>0.12130000000000001</v>
      </c>
      <c r="E5" s="8">
        <v>1.0999999999999999E-2</v>
      </c>
      <c r="F5" t="s">
        <v>452</v>
      </c>
      <c r="G5">
        <v>8.52</v>
      </c>
      <c r="H5">
        <v>9.91</v>
      </c>
      <c r="I5">
        <v>10.77</v>
      </c>
      <c r="J5">
        <v>11.06</v>
      </c>
      <c r="K5">
        <v>8.33</v>
      </c>
      <c r="L5">
        <v>7.5</v>
      </c>
      <c r="M5">
        <v>8.57</v>
      </c>
      <c r="N5" t="s">
        <v>453</v>
      </c>
    </row>
    <row r="6" spans="1:15" x14ac:dyDescent="0.4">
      <c r="A6" t="s">
        <v>458</v>
      </c>
      <c r="B6" s="2" t="s">
        <v>356</v>
      </c>
      <c r="C6" t="s">
        <v>451</v>
      </c>
      <c r="D6" s="8">
        <v>11.7826</v>
      </c>
      <c r="E6" s="8">
        <v>1.0429999999999999</v>
      </c>
      <c r="F6" t="s">
        <v>452</v>
      </c>
      <c r="G6">
        <v>20.04</v>
      </c>
      <c r="H6">
        <v>27.14</v>
      </c>
      <c r="I6">
        <v>22.08</v>
      </c>
      <c r="J6">
        <v>32.35</v>
      </c>
      <c r="K6">
        <v>38.44</v>
      </c>
      <c r="L6">
        <v>34.619999999999997</v>
      </c>
      <c r="M6">
        <v>61.14</v>
      </c>
      <c r="N6" t="s">
        <v>453</v>
      </c>
      <c r="O6" t="s">
        <v>459</v>
      </c>
    </row>
    <row r="7" spans="1:15" x14ac:dyDescent="0.4">
      <c r="A7" t="s">
        <v>458</v>
      </c>
      <c r="B7" s="2" t="s">
        <v>356</v>
      </c>
      <c r="C7" t="s">
        <v>455</v>
      </c>
      <c r="D7" s="8">
        <v>14.8131</v>
      </c>
      <c r="E7" s="8">
        <v>1.3109999999999999</v>
      </c>
      <c r="F7" t="s">
        <v>452</v>
      </c>
      <c r="G7">
        <v>78.48</v>
      </c>
      <c r="H7">
        <v>86.12</v>
      </c>
      <c r="I7">
        <v>94.35</v>
      </c>
      <c r="J7">
        <v>105.26</v>
      </c>
      <c r="K7">
        <v>112.56</v>
      </c>
      <c r="L7">
        <v>101.42</v>
      </c>
      <c r="M7">
        <v>115.85</v>
      </c>
      <c r="N7" t="s">
        <v>453</v>
      </c>
    </row>
    <row r="8" spans="1:15" x14ac:dyDescent="0.4">
      <c r="A8" t="s">
        <v>460</v>
      </c>
      <c r="B8" s="2" t="s">
        <v>361</v>
      </c>
      <c r="C8" t="s">
        <v>451</v>
      </c>
      <c r="D8" s="8">
        <v>0.71199999999999997</v>
      </c>
      <c r="E8" s="8">
        <v>6.3E-2</v>
      </c>
      <c r="F8" t="s">
        <v>452</v>
      </c>
      <c r="G8">
        <v>0.59</v>
      </c>
      <c r="H8">
        <v>1.28</v>
      </c>
      <c r="I8">
        <v>1.81</v>
      </c>
      <c r="J8">
        <v>1.49</v>
      </c>
      <c r="K8">
        <v>1.1399999999999999</v>
      </c>
      <c r="L8">
        <v>1.03</v>
      </c>
      <c r="M8">
        <v>1.82</v>
      </c>
      <c r="N8" t="s">
        <v>453</v>
      </c>
    </row>
    <row r="9" spans="1:15" x14ac:dyDescent="0.4">
      <c r="A9" t="s">
        <v>460</v>
      </c>
      <c r="B9" s="2" t="s">
        <v>361</v>
      </c>
      <c r="C9" t="s">
        <v>455</v>
      </c>
      <c r="D9" s="8">
        <v>9.9581</v>
      </c>
      <c r="E9" s="8">
        <v>0.88100000000000001</v>
      </c>
      <c r="F9" t="s">
        <v>452</v>
      </c>
      <c r="G9">
        <v>58.08</v>
      </c>
      <c r="H9">
        <v>41.81</v>
      </c>
      <c r="I9">
        <v>50.66</v>
      </c>
      <c r="J9">
        <v>68.36</v>
      </c>
      <c r="K9">
        <v>47.8</v>
      </c>
      <c r="L9">
        <v>43.07</v>
      </c>
      <c r="M9">
        <v>49.19</v>
      </c>
      <c r="N9" t="s">
        <v>453</v>
      </c>
    </row>
    <row r="10" spans="1:15" x14ac:dyDescent="0.4">
      <c r="A10" t="s">
        <v>461</v>
      </c>
      <c r="B10" s="2" t="s">
        <v>363</v>
      </c>
      <c r="C10" t="s">
        <v>451</v>
      </c>
      <c r="D10" s="8">
        <v>7.3800000000000004E-2</v>
      </c>
      <c r="E10" s="8">
        <v>7.0000000000000001E-3</v>
      </c>
      <c r="F10" t="s">
        <v>452</v>
      </c>
      <c r="G10">
        <v>7.0000000000000007E-2</v>
      </c>
      <c r="H10">
        <v>0.03</v>
      </c>
      <c r="I10">
        <v>0.14000000000000001</v>
      </c>
      <c r="J10">
        <v>0.02</v>
      </c>
      <c r="K10">
        <v>0.09</v>
      </c>
      <c r="L10">
        <v>0.08</v>
      </c>
      <c r="M10">
        <v>0.15</v>
      </c>
      <c r="N10" t="s">
        <v>453</v>
      </c>
    </row>
    <row r="11" spans="1:15" x14ac:dyDescent="0.4">
      <c r="A11" t="s">
        <v>461</v>
      </c>
      <c r="B11" s="2" t="s">
        <v>363</v>
      </c>
      <c r="C11" t="s">
        <v>455</v>
      </c>
      <c r="D11" s="8">
        <v>3.3748999999999998</v>
      </c>
      <c r="E11" s="8">
        <v>0.29899999999999999</v>
      </c>
      <c r="F11" t="s">
        <v>452</v>
      </c>
      <c r="G11">
        <v>28.17</v>
      </c>
      <c r="H11">
        <v>23.59</v>
      </c>
      <c r="I11">
        <v>21.2</v>
      </c>
      <c r="J11">
        <v>30.63</v>
      </c>
      <c r="K11">
        <v>25.83</v>
      </c>
      <c r="L11">
        <v>23.27</v>
      </c>
      <c r="M11">
        <v>26.58</v>
      </c>
      <c r="N11" t="s">
        <v>453</v>
      </c>
    </row>
    <row r="12" spans="1:15" x14ac:dyDescent="0.4">
      <c r="A12" t="s">
        <v>462</v>
      </c>
      <c r="B12" s="2"/>
      <c r="C12" t="s">
        <v>455</v>
      </c>
      <c r="D12" s="8">
        <v>24.984300000000001</v>
      </c>
      <c r="E12" s="8">
        <v>2.2109999999999999</v>
      </c>
      <c r="F12" t="s">
        <v>452</v>
      </c>
      <c r="G12">
        <v>163.52000000000001</v>
      </c>
      <c r="H12">
        <v>142.34</v>
      </c>
      <c r="I12">
        <v>165.5</v>
      </c>
      <c r="J12">
        <v>300.52</v>
      </c>
      <c r="K12">
        <v>263.57</v>
      </c>
      <c r="L12">
        <v>237.49</v>
      </c>
      <c r="M12">
        <v>271.26</v>
      </c>
      <c r="N12" t="s">
        <v>453</v>
      </c>
      <c r="O12" t="s">
        <v>463</v>
      </c>
    </row>
    <row r="13" spans="1:15" ht="29.15" customHeight="1" x14ac:dyDescent="0.4">
      <c r="A13" t="s">
        <v>464</v>
      </c>
      <c r="B13" s="2" t="s">
        <v>365</v>
      </c>
      <c r="C13" t="s">
        <v>451</v>
      </c>
      <c r="D13" s="8">
        <v>2.6797</v>
      </c>
      <c r="E13" s="8">
        <v>0.23699999999999999</v>
      </c>
      <c r="F13" t="s">
        <v>452</v>
      </c>
      <c r="G13">
        <v>1.9</v>
      </c>
      <c r="H13">
        <v>3.93</v>
      </c>
      <c r="I13">
        <v>5.49</v>
      </c>
      <c r="J13">
        <v>6.38</v>
      </c>
      <c r="K13">
        <v>9.4499999999999993</v>
      </c>
      <c r="L13">
        <v>8.51</v>
      </c>
      <c r="M13">
        <v>15.03</v>
      </c>
      <c r="N13" t="s">
        <v>453</v>
      </c>
    </row>
    <row r="14" spans="1:15" ht="29.15" customHeight="1" x14ac:dyDescent="0.4">
      <c r="A14" t="s">
        <v>464</v>
      </c>
      <c r="B14" s="2" t="s">
        <v>365</v>
      </c>
      <c r="C14" t="s">
        <v>455</v>
      </c>
      <c r="D14" s="8">
        <v>28.314800000000002</v>
      </c>
      <c r="E14" s="8">
        <v>2.5059999999999998</v>
      </c>
      <c r="F14" t="s">
        <v>452</v>
      </c>
      <c r="G14">
        <v>161.29</v>
      </c>
      <c r="H14">
        <v>179.87</v>
      </c>
      <c r="I14">
        <v>206.1</v>
      </c>
      <c r="J14">
        <v>258.72000000000003</v>
      </c>
      <c r="K14">
        <v>235.76</v>
      </c>
      <c r="L14">
        <v>212.43</v>
      </c>
      <c r="M14">
        <v>242.64</v>
      </c>
      <c r="N14" t="s">
        <v>453</v>
      </c>
    </row>
    <row r="15" spans="1:15" x14ac:dyDescent="0.4">
      <c r="A15" t="s">
        <v>465</v>
      </c>
      <c r="B15" s="2" t="s">
        <v>367</v>
      </c>
      <c r="C15" t="s">
        <v>451</v>
      </c>
      <c r="D15" s="8">
        <v>0.78879999999999995</v>
      </c>
      <c r="E15" s="8">
        <v>7.0000000000000007E-2</v>
      </c>
      <c r="F15" t="s">
        <v>452</v>
      </c>
      <c r="G15">
        <v>1.33</v>
      </c>
      <c r="H15">
        <v>3.33</v>
      </c>
      <c r="I15">
        <v>4.03</v>
      </c>
      <c r="J15">
        <v>4.74</v>
      </c>
      <c r="K15">
        <v>6.23</v>
      </c>
      <c r="L15">
        <v>5.61</v>
      </c>
      <c r="M15">
        <v>9.91</v>
      </c>
      <c r="N15" t="s">
        <v>453</v>
      </c>
    </row>
    <row r="16" spans="1:15" x14ac:dyDescent="0.4">
      <c r="A16" t="s">
        <v>465</v>
      </c>
      <c r="B16" s="2" t="s">
        <v>367</v>
      </c>
      <c r="C16" t="s">
        <v>455</v>
      </c>
      <c r="D16" s="8">
        <v>6.5384000000000002</v>
      </c>
      <c r="E16" s="8">
        <v>0.57899999999999996</v>
      </c>
      <c r="F16" t="s">
        <v>452</v>
      </c>
      <c r="G16">
        <v>53.68</v>
      </c>
      <c r="H16">
        <v>44.3</v>
      </c>
      <c r="I16">
        <v>55.19</v>
      </c>
      <c r="J16">
        <v>57.84</v>
      </c>
      <c r="K16">
        <v>59.1</v>
      </c>
      <c r="L16">
        <v>53.25</v>
      </c>
      <c r="M16">
        <v>60.82</v>
      </c>
      <c r="N16" t="s">
        <v>453</v>
      </c>
      <c r="O16" t="s">
        <v>466</v>
      </c>
    </row>
    <row r="17" spans="1:15" x14ac:dyDescent="0.4">
      <c r="A17" t="s">
        <v>467</v>
      </c>
      <c r="B17" s="2" t="s">
        <v>369</v>
      </c>
      <c r="C17" t="s">
        <v>451</v>
      </c>
      <c r="D17" s="8">
        <v>0.54469999999999996</v>
      </c>
      <c r="E17" s="8">
        <v>4.8000000000000001E-2</v>
      </c>
      <c r="F17" t="s">
        <v>452</v>
      </c>
      <c r="G17">
        <v>3.8</v>
      </c>
      <c r="H17">
        <v>9.89</v>
      </c>
      <c r="I17">
        <v>10.15</v>
      </c>
      <c r="J17">
        <v>9.39</v>
      </c>
      <c r="K17">
        <v>9.3800000000000008</v>
      </c>
      <c r="L17">
        <v>8.4499999999999993</v>
      </c>
      <c r="M17">
        <v>14.92</v>
      </c>
      <c r="N17" t="s">
        <v>453</v>
      </c>
    </row>
    <row r="18" spans="1:15" x14ac:dyDescent="0.4">
      <c r="A18" t="s">
        <v>467</v>
      </c>
      <c r="B18" s="2" t="s">
        <v>369</v>
      </c>
      <c r="C18" t="s">
        <v>455</v>
      </c>
      <c r="D18" s="8">
        <v>9.3660999999999994</v>
      </c>
      <c r="E18" s="8">
        <v>0.82899999999999996</v>
      </c>
      <c r="F18" t="s">
        <v>452</v>
      </c>
      <c r="G18">
        <v>81.42</v>
      </c>
      <c r="H18">
        <v>96.06</v>
      </c>
      <c r="I18">
        <v>127.3</v>
      </c>
      <c r="J18">
        <v>118.64</v>
      </c>
      <c r="K18">
        <v>101.34</v>
      </c>
      <c r="L18">
        <v>91.31</v>
      </c>
      <c r="M18">
        <v>104.3</v>
      </c>
      <c r="N18" t="s">
        <v>453</v>
      </c>
    </row>
    <row r="19" spans="1:15" x14ac:dyDescent="0.4">
      <c r="A19" t="s">
        <v>468</v>
      </c>
      <c r="B19" s="2" t="s">
        <v>371</v>
      </c>
      <c r="C19" t="s">
        <v>451</v>
      </c>
      <c r="D19" s="8">
        <v>1.1942999999999999</v>
      </c>
      <c r="E19" s="8">
        <v>0.106</v>
      </c>
      <c r="F19" t="s">
        <v>452</v>
      </c>
      <c r="G19">
        <v>7.62</v>
      </c>
      <c r="H19">
        <v>4.96</v>
      </c>
      <c r="I19">
        <v>5.59</v>
      </c>
      <c r="J19">
        <v>7.64</v>
      </c>
      <c r="K19">
        <v>7.73</v>
      </c>
      <c r="L19">
        <v>6.96</v>
      </c>
      <c r="M19">
        <v>12.29</v>
      </c>
      <c r="N19" t="s">
        <v>453</v>
      </c>
    </row>
    <row r="20" spans="1:15" x14ac:dyDescent="0.4">
      <c r="A20" t="s">
        <v>468</v>
      </c>
      <c r="B20" s="2" t="s">
        <v>371</v>
      </c>
      <c r="C20" t="s">
        <v>455</v>
      </c>
      <c r="D20" s="8">
        <v>31.93</v>
      </c>
      <c r="E20" s="8">
        <v>2.8260000000000001</v>
      </c>
      <c r="F20" t="s">
        <v>452</v>
      </c>
      <c r="G20">
        <v>191.92</v>
      </c>
      <c r="H20">
        <v>234.44</v>
      </c>
      <c r="I20">
        <v>234.78</v>
      </c>
      <c r="J20">
        <v>245.25</v>
      </c>
      <c r="K20">
        <v>270.11</v>
      </c>
      <c r="L20">
        <v>243.39</v>
      </c>
      <c r="M20">
        <v>277.99</v>
      </c>
      <c r="N20" t="s">
        <v>453</v>
      </c>
      <c r="O20" t="s">
        <v>469</v>
      </c>
    </row>
    <row r="21" spans="1:15" x14ac:dyDescent="0.4">
      <c r="A21" t="s">
        <v>470</v>
      </c>
      <c r="B21" s="2" t="s">
        <v>373</v>
      </c>
      <c r="C21" t="s">
        <v>455</v>
      </c>
      <c r="D21" s="8">
        <v>1.8554999999999999</v>
      </c>
      <c r="E21" s="8">
        <v>0.16400000000000001</v>
      </c>
      <c r="F21" t="s">
        <v>471</v>
      </c>
      <c r="N21" t="s">
        <v>472</v>
      </c>
      <c r="O21" t="s">
        <v>473</v>
      </c>
    </row>
    <row r="22" spans="1:15" x14ac:dyDescent="0.4">
      <c r="A22" t="s">
        <v>474</v>
      </c>
      <c r="B22" s="2" t="s">
        <v>377</v>
      </c>
      <c r="C22" t="s">
        <v>455</v>
      </c>
      <c r="D22" s="8">
        <v>0.42930000000000001</v>
      </c>
      <c r="E22" s="8">
        <v>3.7999999999999999E-2</v>
      </c>
      <c r="F22" t="s">
        <v>471</v>
      </c>
      <c r="N22" t="s">
        <v>472</v>
      </c>
      <c r="O22" t="s">
        <v>475</v>
      </c>
    </row>
    <row r="23" spans="1:15" x14ac:dyDescent="0.4">
      <c r="A23" t="s">
        <v>476</v>
      </c>
      <c r="B23" s="2" t="s">
        <v>381</v>
      </c>
      <c r="C23" t="s">
        <v>451</v>
      </c>
      <c r="D23" s="8">
        <v>2.98E-2</v>
      </c>
      <c r="E23" s="8">
        <v>3.0000000000000001E-3</v>
      </c>
      <c r="F23" t="s">
        <v>471</v>
      </c>
      <c r="N23" t="s">
        <v>472</v>
      </c>
      <c r="O23" t="s">
        <v>477</v>
      </c>
    </row>
    <row r="24" spans="1:15" x14ac:dyDescent="0.4">
      <c r="A24" t="s">
        <v>476</v>
      </c>
      <c r="B24" s="2" t="s">
        <v>381</v>
      </c>
      <c r="C24" t="s">
        <v>455</v>
      </c>
      <c r="D24" s="8">
        <v>5.5999999999999999E-3</v>
      </c>
      <c r="E24" s="8">
        <v>0</v>
      </c>
      <c r="F24" t="s">
        <v>471</v>
      </c>
      <c r="N24" t="s">
        <v>472</v>
      </c>
      <c r="O24" t="s">
        <v>477</v>
      </c>
    </row>
    <row r="25" spans="1:15" x14ac:dyDescent="0.4">
      <c r="A25" t="s">
        <v>478</v>
      </c>
      <c r="B25" s="2" t="s">
        <v>386</v>
      </c>
      <c r="C25" t="s">
        <v>451</v>
      </c>
      <c r="D25" s="8">
        <v>1.6692</v>
      </c>
      <c r="E25" s="8">
        <v>0.14799999999999999</v>
      </c>
      <c r="F25" t="s">
        <v>144</v>
      </c>
      <c r="G25">
        <v>1.6</v>
      </c>
      <c r="H25">
        <v>2</v>
      </c>
      <c r="I25">
        <v>3.1</v>
      </c>
      <c r="J25">
        <v>4</v>
      </c>
      <c r="K25">
        <v>7.7</v>
      </c>
      <c r="L25">
        <v>7.6</v>
      </c>
      <c r="M25">
        <v>6.1</v>
      </c>
      <c r="N25" t="s">
        <v>479</v>
      </c>
      <c r="O25" t="s">
        <v>480</v>
      </c>
    </row>
    <row r="26" spans="1:15" x14ac:dyDescent="0.4">
      <c r="A26" t="s">
        <v>478</v>
      </c>
      <c r="B26" s="2" t="s">
        <v>386</v>
      </c>
      <c r="C26" t="s">
        <v>455</v>
      </c>
      <c r="D26" s="8">
        <v>34.534799999999997</v>
      </c>
      <c r="E26" s="8">
        <v>3.0569999999999999</v>
      </c>
      <c r="F26" t="s">
        <v>144</v>
      </c>
      <c r="G26">
        <v>164.7</v>
      </c>
      <c r="H26">
        <v>163.6</v>
      </c>
      <c r="I26">
        <v>183.6</v>
      </c>
      <c r="J26">
        <v>237.6</v>
      </c>
      <c r="K26">
        <v>233.8</v>
      </c>
      <c r="L26">
        <v>212.8</v>
      </c>
      <c r="M26">
        <v>234.8</v>
      </c>
      <c r="N26" t="s">
        <v>481</v>
      </c>
      <c r="O26" t="s">
        <v>480</v>
      </c>
    </row>
    <row r="27" spans="1:15" x14ac:dyDescent="0.4">
      <c r="A27" t="s">
        <v>482</v>
      </c>
      <c r="B27" s="2" t="s">
        <v>390</v>
      </c>
      <c r="C27" t="s">
        <v>455</v>
      </c>
      <c r="D27" s="8">
        <v>1.8564000000000001</v>
      </c>
      <c r="E27" s="8">
        <v>0.16400000000000001</v>
      </c>
      <c r="F27" t="s">
        <v>144</v>
      </c>
      <c r="G27">
        <v>25.3</v>
      </c>
      <c r="H27">
        <v>11.6</v>
      </c>
      <c r="I27">
        <v>18.899999999999999</v>
      </c>
      <c r="J27">
        <v>26.1</v>
      </c>
      <c r="K27">
        <v>30.7</v>
      </c>
      <c r="L27">
        <v>34.799999999999997</v>
      </c>
      <c r="M27">
        <v>36.1</v>
      </c>
      <c r="N27" t="s">
        <v>483</v>
      </c>
      <c r="O27" t="s">
        <v>484</v>
      </c>
    </row>
    <row r="28" spans="1:15" x14ac:dyDescent="0.4">
      <c r="A28" t="s">
        <v>485</v>
      </c>
      <c r="B28" s="2" t="s">
        <v>400</v>
      </c>
      <c r="C28" t="s">
        <v>451</v>
      </c>
      <c r="D28" s="8">
        <v>3.8751000000000002</v>
      </c>
      <c r="E28" s="8">
        <v>0.34300000000000003</v>
      </c>
      <c r="F28" t="s">
        <v>144</v>
      </c>
      <c r="G28">
        <v>74.599999999999994</v>
      </c>
      <c r="H28">
        <v>82.8</v>
      </c>
      <c r="I28">
        <v>105.3</v>
      </c>
      <c r="J28">
        <v>82.3</v>
      </c>
      <c r="K28">
        <v>107.5</v>
      </c>
      <c r="L28">
        <v>111.4</v>
      </c>
      <c r="M28">
        <v>138.80000000000001</v>
      </c>
      <c r="N28" t="s">
        <v>486</v>
      </c>
      <c r="O28" t="s">
        <v>487</v>
      </c>
    </row>
    <row r="29" spans="1:15" x14ac:dyDescent="0.4">
      <c r="A29" t="s">
        <v>485</v>
      </c>
      <c r="B29" s="2" t="s">
        <v>400</v>
      </c>
      <c r="C29" t="s">
        <v>455</v>
      </c>
      <c r="D29" s="8">
        <v>8.5535999999999994</v>
      </c>
      <c r="E29" s="8">
        <v>0.75700000000000001</v>
      </c>
      <c r="F29" t="s">
        <v>144</v>
      </c>
      <c r="G29">
        <v>66</v>
      </c>
      <c r="H29">
        <v>66.099999999999994</v>
      </c>
      <c r="I29">
        <v>84.7</v>
      </c>
      <c r="J29">
        <v>85.3</v>
      </c>
      <c r="K29">
        <v>100.6</v>
      </c>
      <c r="L29">
        <v>113.4</v>
      </c>
      <c r="M29">
        <v>135.4</v>
      </c>
      <c r="N29" t="s">
        <v>488</v>
      </c>
      <c r="O29" t="s">
        <v>487</v>
      </c>
    </row>
    <row r="31" spans="1:15" ht="40" customHeight="1" x14ac:dyDescent="0.4">
      <c r="A31" s="22" t="s">
        <v>489</v>
      </c>
      <c r="B31" s="23"/>
      <c r="C31" s="23"/>
      <c r="D31" s="23"/>
      <c r="E31" s="23"/>
      <c r="F31" s="23"/>
      <c r="G31" s="23"/>
      <c r="H31" s="23"/>
    </row>
    <row r="32" spans="1:15" x14ac:dyDescent="0.4">
      <c r="A32" s="21" t="s">
        <v>490</v>
      </c>
    </row>
    <row r="33" spans="1:14" x14ac:dyDescent="0.4">
      <c r="A33" s="9" t="s">
        <v>401</v>
      </c>
      <c r="B33" t="s">
        <v>491</v>
      </c>
      <c r="C33" t="s">
        <v>451</v>
      </c>
      <c r="F33" t="s">
        <v>144</v>
      </c>
      <c r="G33">
        <v>220.5</v>
      </c>
      <c r="H33">
        <v>184.9</v>
      </c>
      <c r="I33">
        <v>198</v>
      </c>
      <c r="J33">
        <v>250.8</v>
      </c>
      <c r="K33">
        <v>255.8</v>
      </c>
      <c r="L33">
        <v>230.4</v>
      </c>
      <c r="M33">
        <v>406.9</v>
      </c>
      <c r="N33" t="s">
        <v>492</v>
      </c>
    </row>
    <row r="34" spans="1:14" x14ac:dyDescent="0.4">
      <c r="A34" t="s">
        <v>401</v>
      </c>
      <c r="B34" t="s">
        <v>493</v>
      </c>
      <c r="C34" t="s">
        <v>451</v>
      </c>
      <c r="F34" t="s">
        <v>144</v>
      </c>
      <c r="G34">
        <v>299.10000000000002</v>
      </c>
      <c r="H34">
        <v>270.5</v>
      </c>
      <c r="I34">
        <v>307</v>
      </c>
      <c r="J34">
        <v>339.8</v>
      </c>
      <c r="K34">
        <v>373.8</v>
      </c>
      <c r="L34">
        <v>351.4</v>
      </c>
      <c r="M34">
        <v>555</v>
      </c>
      <c r="N34" t="s">
        <v>494</v>
      </c>
    </row>
    <row r="35" spans="1:14" x14ac:dyDescent="0.4">
      <c r="A35" t="s">
        <v>401</v>
      </c>
      <c r="B35" t="s">
        <v>491</v>
      </c>
      <c r="C35" t="s">
        <v>455</v>
      </c>
      <c r="F35" t="s">
        <v>144</v>
      </c>
      <c r="G35">
        <v>759.3</v>
      </c>
      <c r="H35">
        <v>784.7</v>
      </c>
      <c r="I35">
        <v>878.6</v>
      </c>
      <c r="J35">
        <v>1070.0999999999999</v>
      </c>
      <c r="K35">
        <v>1064.4000000000001</v>
      </c>
      <c r="L35">
        <v>959.1</v>
      </c>
      <c r="M35">
        <v>1095.4000000000001</v>
      </c>
      <c r="N35" t="s">
        <v>495</v>
      </c>
    </row>
    <row r="36" spans="1:14" x14ac:dyDescent="0.4">
      <c r="A36" t="s">
        <v>401</v>
      </c>
      <c r="B36" t="s">
        <v>493</v>
      </c>
      <c r="C36" t="s">
        <v>455</v>
      </c>
      <c r="F36" t="s">
        <v>144</v>
      </c>
      <c r="G36">
        <v>1015.3</v>
      </c>
      <c r="H36">
        <v>1026.0999999999999</v>
      </c>
      <c r="I36">
        <v>1165.8</v>
      </c>
      <c r="J36">
        <v>1419.1</v>
      </c>
      <c r="K36">
        <v>1429.5</v>
      </c>
      <c r="L36">
        <v>1320</v>
      </c>
      <c r="M36">
        <v>1501.7</v>
      </c>
      <c r="N36" t="s">
        <v>496</v>
      </c>
    </row>
    <row r="37" spans="1:14" x14ac:dyDescent="0.4">
      <c r="A37" t="s">
        <v>401</v>
      </c>
      <c r="B37" t="s">
        <v>497</v>
      </c>
      <c r="C37" t="s">
        <v>451</v>
      </c>
      <c r="F37" t="s">
        <v>144</v>
      </c>
      <c r="G37">
        <v>180.9</v>
      </c>
      <c r="H37">
        <v>161.4</v>
      </c>
      <c r="I37">
        <v>163.69999999999999</v>
      </c>
      <c r="J37">
        <v>207.9</v>
      </c>
      <c r="K37">
        <v>217.5</v>
      </c>
      <c r="N37" t="s">
        <v>498</v>
      </c>
    </row>
    <row r="38" spans="1:14" x14ac:dyDescent="0.4">
      <c r="A38" t="s">
        <v>401</v>
      </c>
      <c r="B38" t="s">
        <v>499</v>
      </c>
      <c r="C38" t="s">
        <v>455</v>
      </c>
      <c r="F38" t="s">
        <v>144</v>
      </c>
      <c r="G38">
        <v>887.7</v>
      </c>
      <c r="H38">
        <v>909.8</v>
      </c>
      <c r="I38">
        <v>1025</v>
      </c>
      <c r="J38">
        <v>1260.5</v>
      </c>
      <c r="K38">
        <v>1182.3</v>
      </c>
      <c r="N38" t="s">
        <v>498</v>
      </c>
    </row>
    <row r="39" spans="1:14" x14ac:dyDescent="0.4">
      <c r="A39" t="s">
        <v>462</v>
      </c>
      <c r="B39" t="s">
        <v>500</v>
      </c>
      <c r="C39" t="s">
        <v>451</v>
      </c>
      <c r="F39" t="s">
        <v>144</v>
      </c>
      <c r="G39">
        <v>4.8</v>
      </c>
      <c r="H39">
        <v>3</v>
      </c>
      <c r="I39">
        <v>3.6</v>
      </c>
      <c r="J39">
        <v>7.4</v>
      </c>
      <c r="K39">
        <v>4.0999999999999996</v>
      </c>
      <c r="N39" t="s">
        <v>501</v>
      </c>
    </row>
    <row r="40" spans="1:14" x14ac:dyDescent="0.4">
      <c r="A40" s="21" t="s">
        <v>502</v>
      </c>
    </row>
    <row r="41" spans="1:14" x14ac:dyDescent="0.4">
      <c r="A41" t="s">
        <v>450</v>
      </c>
      <c r="B41" t="s">
        <v>503</v>
      </c>
    </row>
    <row r="42" spans="1:14" x14ac:dyDescent="0.4">
      <c r="A42" t="s">
        <v>456</v>
      </c>
      <c r="B42" t="s">
        <v>504</v>
      </c>
    </row>
    <row r="43" spans="1:14" x14ac:dyDescent="0.4">
      <c r="A43" t="s">
        <v>458</v>
      </c>
      <c r="B43" t="s">
        <v>505</v>
      </c>
    </row>
    <row r="44" spans="1:14" x14ac:dyDescent="0.4">
      <c r="A44" t="s">
        <v>460</v>
      </c>
      <c r="B44" t="s">
        <v>506</v>
      </c>
    </row>
    <row r="45" spans="1:14" x14ac:dyDescent="0.4">
      <c r="A45" t="s">
        <v>461</v>
      </c>
      <c r="B45" t="s">
        <v>507</v>
      </c>
    </row>
    <row r="46" spans="1:14" x14ac:dyDescent="0.4">
      <c r="A46" t="s">
        <v>462</v>
      </c>
      <c r="B46" t="s">
        <v>508</v>
      </c>
    </row>
    <row r="47" spans="1:14" x14ac:dyDescent="0.4">
      <c r="A47" t="s">
        <v>464</v>
      </c>
      <c r="B47" t="s">
        <v>509</v>
      </c>
    </row>
    <row r="48" spans="1:14" x14ac:dyDescent="0.4">
      <c r="A48" t="s">
        <v>465</v>
      </c>
      <c r="B48" t="s">
        <v>510</v>
      </c>
    </row>
    <row r="49" spans="1:2" x14ac:dyDescent="0.4">
      <c r="A49" t="s">
        <v>467</v>
      </c>
      <c r="B49" t="s">
        <v>511</v>
      </c>
    </row>
    <row r="50" spans="1:2" x14ac:dyDescent="0.4">
      <c r="A50" t="s">
        <v>468</v>
      </c>
      <c r="B50" t="s">
        <v>512</v>
      </c>
    </row>
    <row r="51" spans="1:2" x14ac:dyDescent="0.4">
      <c r="A51" t="s">
        <v>470</v>
      </c>
      <c r="B51" t="s">
        <v>513</v>
      </c>
    </row>
    <row r="52" spans="1:2" x14ac:dyDescent="0.4">
      <c r="A52" t="s">
        <v>514</v>
      </c>
      <c r="B52" t="s">
        <v>515</v>
      </c>
    </row>
  </sheetData>
  <mergeCells count="1">
    <mergeCell ref="A31:H31"/>
  </mergeCells>
  <pageMargins left="0.75" right="0.75" top="1" bottom="1" header="0.5" footer="0.5"/>
  <headerFooter>
    <oddFooter>&amp;R&amp;"Aptos"&amp;10 &amp;K000000_x000D_#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Inputs</vt:lpstr>
      <vt:lpstr>Targets</vt:lpstr>
      <vt:lpstr>Sectors</vt:lpstr>
      <vt:lpstr>Trade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Kodzovi Senu Abalo</cp:lastModifiedBy>
  <dcterms:created xsi:type="dcterms:W3CDTF">2026-09-14T16:56:36Z</dcterms:created>
  <dcterms:modified xsi:type="dcterms:W3CDTF">2026-09-15T13:08:54Z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2026-09-15T08:51:41Z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51d7874d-4425-4c53-aceb-7e089f4de6af</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