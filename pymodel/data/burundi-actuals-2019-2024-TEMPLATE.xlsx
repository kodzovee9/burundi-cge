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Sectors" sheetId="4" state="visible" r:id="rId4"/>
    <sheet xmlns:r="http://schemas.openxmlformats.org/officeDocument/2006/relationships" name="Tr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FFF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Burundi CGE — data collection for the 2019-2024 backcast</t>
        </is>
      </c>
    </row>
    <row r="2">
      <c r="A2" s="2" t="inlineStr"/>
    </row>
    <row r="3">
      <c r="A3" s="1" t="inlineStr">
        <is>
          <t>PURPOSE</t>
        </is>
      </c>
    </row>
    <row r="4">
      <c r="A4" s="2" t="inlineStr">
        <is>
          <t>The Python CGE model is being validated against Burundi's actual 2019-2024 outcomes rather than against the GAMS projection. The model keeps the 2019 SAM as base. For 2020-2024 it needs (a) actual values of the series it takes as exogenous INPUTS, and (b) actual OUTCOMES to test its outputs against.</t>
        </is>
      </c>
    </row>
    <row r="5">
      <c r="A5" s="2" t="inlineStr"/>
    </row>
    <row r="6">
      <c r="A6" s="1" t="inlineStr">
        <is>
          <t>SHEETS</t>
        </is>
      </c>
    </row>
    <row r="7">
      <c r="A7" s="2" t="inlineStr">
        <is>
          <t>Inputs   — series that replace the model's 2020-24 projections. Filling these changes what the model is fed.</t>
        </is>
      </c>
    </row>
    <row r="8">
      <c r="A8" s="2" t="inlineStr">
        <is>
          <t>Targets  — outcomes the model's outputs are compared to. Filling these changes nothing in the model; they are the test.</t>
        </is>
      </c>
    </row>
    <row r="9">
      <c r="A9" s="2" t="inlineStr">
        <is>
          <t>Sectors  — value added by the model's 19 sectors. The 2019 'model share' column is pre-filled from the SAM for you to check.</t>
        </is>
      </c>
    </row>
    <row r="10">
      <c r="A10" s="2" t="inlineStr">
        <is>
          <t>Trade    — exports and imports by the model's 19 commodities; 2019 model values pre-filled.</t>
        </is>
      </c>
    </row>
    <row r="11">
      <c r="A11" s="2" t="inlineStr"/>
    </row>
    <row r="12">
      <c r="A12" s="1" t="inlineStr">
        <is>
          <t>PERIOD</t>
        </is>
      </c>
    </row>
    <row r="13">
      <c r="A13" s="2" t="inlineStr">
        <is>
          <t>2019 is the base year (already in the SAM; use it to check the SAM). 2020-2024 are the actuals we need. 2025 if an estimate exists.</t>
        </is>
      </c>
    </row>
    <row r="14">
      <c r="A14" s="2" t="inlineStr"/>
    </row>
    <row r="15">
      <c r="A15" s="1" t="inlineStr">
        <is>
          <t>PRIORITY</t>
        </is>
      </c>
    </row>
    <row r="16">
      <c r="A16" s="2" t="inlineStr">
        <is>
          <t>A (red)    essential — the backcast cannot be judged without it</t>
        </is>
      </c>
    </row>
    <row r="17">
      <c r="A17" s="2" t="inlineStr">
        <is>
          <t>B (yellow) important — improves the test materially</t>
        </is>
      </c>
    </row>
    <row r="18">
      <c r="A18" s="2" t="inlineStr">
        <is>
          <t>C (green)  nice to have</t>
        </is>
      </c>
    </row>
    <row r="19">
      <c r="A19" s="2" t="inlineStr">
        <is>
          <t>Fill the A rows first, across all five sheets. IN02 (parallel exchange rate), IN04 (GDP growth confirmation), IN05 (fuel price), TG02 (CPI), TG03/TG05 (trade) and the Sectors sheet are the ones that decide whether this works.</t>
        </is>
      </c>
    </row>
    <row r="20">
      <c r="A20" s="2" t="inlineStr"/>
    </row>
    <row r="21">
      <c r="A21" s="1" t="inlineStr">
        <is>
          <t>CONVENTIONS</t>
        </is>
      </c>
    </row>
    <row r="22">
      <c r="A22" s="2" t="inlineStr">
        <is>
          <t>Percentages as percent, not decimals (3.5 for 3.5%).</t>
        </is>
      </c>
    </row>
    <row r="23">
      <c r="A23" s="2" t="inlineStr">
        <is>
          <t>Currency: state the unit in the Unit column if it differs from the one given; BIF billions and USD millions preferred.</t>
        </is>
      </c>
    </row>
    <row r="24">
      <c r="A24" s="2" t="inlineStr">
        <is>
          <t>Indices: 2019 = 1.00 unless stated.</t>
        </is>
      </c>
    </row>
    <row r="25">
      <c r="A25" s="2" t="inlineStr">
        <is>
          <t>Leave a cell EMPTY if the value is not available — do not enter 0.</t>
        </is>
      </c>
    </row>
    <row r="26">
      <c r="A26" s="2" t="inlineStr">
        <is>
          <t>Put the source actually used in 'Source used' (report name and table, or URL). If a value is an estimate or projection rather than an actual, say so in Notes.</t>
        </is>
      </c>
    </row>
    <row r="27">
      <c r="A27" s="2" t="inlineStr">
        <is>
          <t>Annual averages unless the description says end-year.</t>
        </is>
      </c>
    </row>
    <row r="28">
      <c r="A28" s="2" t="inlineStr"/>
    </row>
    <row r="29">
      <c r="A29" s="1" t="inlineStr">
        <is>
          <t>WHAT HAPPENS NEXT</t>
        </is>
      </c>
    </row>
    <row r="30">
      <c r="A30" s="2" t="inlineStr">
        <is>
          <t>Return the workbook as is. A loader is written around this exact layout, so do not rename sheets, move columns, or delete ID rows; adding rows at the bottom of a sheet is fine.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30" customWidth="1" min="4" max="4"/>
    <col width="16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4" customWidth="1" min="14" max="14"/>
    <col width="30" customWidth="1" min="15" max="15"/>
    <col width="30" customWidth="1" min="16" max="16"/>
  </cols>
  <sheetData>
    <row r="1" ht="32" customHeight="1">
      <c r="A1" s="3" t="inlineStr">
        <is>
          <t>ID</t>
        </is>
      </c>
      <c r="B1" s="3" t="inlineStr">
        <is>
          <t>Variable</t>
        </is>
      </c>
      <c r="C1" s="3" t="inlineStr">
        <is>
          <t>Description</t>
        </is>
      </c>
      <c r="D1" s="3" t="inlineStr">
        <is>
          <t>Model parameter / variable</t>
        </is>
      </c>
      <c r="E1" s="3" t="inlineStr">
        <is>
          <t>Unit</t>
        </is>
      </c>
      <c r="F1" s="3" t="inlineStr">
        <is>
          <t>Priority</t>
        </is>
      </c>
      <c r="G1" s="3" t="inlineStr">
        <is>
          <t>2019</t>
        </is>
      </c>
      <c r="H1" s="3" t="inlineStr">
        <is>
          <t>2020</t>
        </is>
      </c>
      <c r="I1" s="3" t="inlineStr">
        <is>
          <t>2021</t>
        </is>
      </c>
      <c r="J1" s="3" t="inlineStr">
        <is>
          <t>2022</t>
        </is>
      </c>
      <c r="K1" s="3" t="inlineStr">
        <is>
          <t>2023</t>
        </is>
      </c>
      <c r="L1" s="3" t="inlineStr">
        <is>
          <t>2024</t>
        </is>
      </c>
      <c r="M1" s="3" t="inlineStr">
        <is>
          <t>2025</t>
        </is>
      </c>
      <c r="N1" s="3" t="inlineStr">
        <is>
          <t>Ideal source</t>
        </is>
      </c>
      <c r="O1" s="3" t="inlineStr">
        <is>
          <t>Source used</t>
        </is>
      </c>
      <c r="P1" s="3" t="inlineStr">
        <is>
          <t>Notes</t>
        </is>
      </c>
    </row>
    <row r="2">
      <c r="A2" t="inlineStr">
        <is>
          <t>IN01</t>
        </is>
      </c>
      <c r="B2" s="2" t="inlineStr">
        <is>
          <t>Official exchange rate</t>
        </is>
      </c>
      <c r="C2" s="2" t="inlineStr">
        <is>
          <t>Annual average, BIF per USD</t>
        </is>
      </c>
      <c r="D2" s="2" t="inlineStr">
        <is>
          <t>EXR (numeraire scaling)</t>
        </is>
      </c>
      <c r="E2" t="inlineStr">
        <is>
          <t>BIF/USD</t>
        </is>
      </c>
      <c r="F2" s="4" t="inlineStr">
        <is>
          <t>A</t>
        </is>
      </c>
      <c r="G2" s="5" t="n"/>
      <c r="H2" s="5" t="n"/>
      <c r="I2" s="5" t="n"/>
      <c r="J2" s="5" t="n"/>
      <c r="K2" s="5" t="n"/>
      <c r="L2" s="5" t="n"/>
      <c r="M2" s="5" t="n"/>
      <c r="N2" s="2" t="inlineStr">
        <is>
          <t>BRB (Banque de la République du Burundi) statistics; IMF IFS</t>
        </is>
      </c>
    </row>
    <row r="3">
      <c r="A3" t="inlineStr">
        <is>
          <t>IN02</t>
        </is>
      </c>
      <c r="B3" s="2" t="inlineStr">
        <is>
          <t>Parallel-market exchange rate</t>
        </is>
      </c>
      <c r="C3" s="2" t="inlineStr">
        <is>
          <t>Annual average, BIF per USD. The single most important series: the model's FX premium is currently held flat at 2.5 (150%) through 2027.</t>
        </is>
      </c>
      <c r="D3" s="2" t="inlineStr">
        <is>
          <t>prexrindex0(t) = IN02/IN01 ÷ 2019 value</t>
        </is>
      </c>
      <c r="E3" t="inlineStr">
        <is>
          <t>BIF/USD</t>
        </is>
      </c>
      <c r="F3" s="4" t="inlineStr">
        <is>
          <t>A</t>
        </is>
      </c>
      <c r="G3" s="5" t="n"/>
      <c r="H3" s="5" t="n"/>
      <c r="I3" s="5" t="n"/>
      <c r="J3" s="5" t="n"/>
      <c r="K3" s="5" t="n"/>
      <c r="L3" s="5" t="n"/>
      <c r="M3" s="5" t="n"/>
      <c r="N3" s="2" t="inlineStr">
        <is>
          <t>IMF Article IV staff reports (cite the premium); BRB; press/market surveys; World Bank Burundi Economic Update</t>
        </is>
      </c>
    </row>
    <row r="4">
      <c r="A4" t="inlineStr">
        <is>
          <t>IN03</t>
        </is>
      </c>
      <c r="B4" s="2" t="inlineStr">
        <is>
          <t>FX premium (derived)</t>
        </is>
      </c>
      <c r="C4" s="2">
        <f> IN02 / IN01. Fill only if you have the premium directly rather than the two rates.</f>
        <v/>
      </c>
      <c r="D4" s="2" t="inlineStr">
        <is>
          <t>prexrindex0</t>
        </is>
      </c>
      <c r="E4" t="inlineStr">
        <is>
          <t>ratio</t>
        </is>
      </c>
      <c r="F4" s="4" t="inlineStr">
        <is>
          <t>A</t>
        </is>
      </c>
      <c r="G4" s="5" t="n"/>
      <c r="H4" s="5" t="n"/>
      <c r="I4" s="5" t="n"/>
      <c r="J4" s="5" t="n"/>
      <c r="K4" s="5" t="n"/>
      <c r="L4" s="5" t="n"/>
      <c r="M4" s="5" t="n"/>
      <c r="N4" s="2" t="inlineStr">
        <is>
          <t>IMF Article IV</t>
        </is>
      </c>
    </row>
    <row r="5">
      <c r="A5" t="inlineStr">
        <is>
          <t>IN04</t>
        </is>
      </c>
      <c r="B5" s="2" t="inlineStr">
        <is>
          <t>Real GDP growth</t>
        </is>
      </c>
      <c r="C5" s="2" t="inlineStr">
        <is>
          <t>Confirm the workbook's 2020-24 values (0.34, 3.12, 1.83, 2.66, 3.53%) are actuals; correct if not.</t>
        </is>
      </c>
      <c r="D5" s="2" t="inlineStr">
        <is>
          <t>gdpgrw(t) — PINS real GDP in the calibration pass</t>
        </is>
      </c>
      <c r="E5" t="inlineStr">
        <is>
          <t>%</t>
        </is>
      </c>
      <c r="F5" s="4" t="inlineStr">
        <is>
          <t>A</t>
        </is>
      </c>
      <c r="G5" s="5" t="n"/>
      <c r="H5" s="5" t="n"/>
      <c r="I5" s="5" t="n"/>
      <c r="J5" s="5" t="n"/>
      <c r="K5" s="5" t="n"/>
      <c r="L5" s="5" t="n"/>
      <c r="M5" s="5" t="n"/>
      <c r="N5" s="2" t="inlineStr">
        <is>
          <t>ISTEEBU comptes nationaux; IMF WEO; World Bank WDI</t>
        </is>
      </c>
    </row>
    <row r="6">
      <c r="A6" t="inlineStr">
        <is>
          <t>IN05</t>
        </is>
      </c>
      <c r="B6" s="2" t="inlineStr">
        <is>
          <t>Fuel import price</t>
        </is>
      </c>
      <c r="C6" s="2" t="inlineStr">
        <is>
          <t>Index or USD/bbl. Refined petroleum is a quota good carrying a model-generated 273% rent; the 2021-22 spike matters.</t>
        </is>
      </c>
      <c r="D6" s="2" t="inlineStr">
        <is>
          <t>pwmindex('c-refpet',t)</t>
        </is>
      </c>
      <c r="E6" t="inlineStr">
        <is>
          <t>index 2019=1 or USD/bbl</t>
        </is>
      </c>
      <c r="F6" s="4" t="inlineStr">
        <is>
          <t>A</t>
        </is>
      </c>
      <c r="G6" s="5" t="n"/>
      <c r="H6" s="5" t="n"/>
      <c r="I6" s="5" t="n"/>
      <c r="J6" s="5" t="n"/>
      <c r="K6" s="5" t="n"/>
      <c r="L6" s="5" t="n"/>
      <c r="M6" s="5" t="n"/>
      <c r="N6" s="2" t="inlineStr">
        <is>
          <t>World Bank Pink Sheet (Brent); IMF Primary Commodity Prices; BRB import unit values</t>
        </is>
      </c>
    </row>
    <row r="7">
      <c r="A7" t="inlineStr">
        <is>
          <t>IN06</t>
        </is>
      </c>
      <c r="B7" s="2" t="inlineStr">
        <is>
          <t>Import price index, all goods</t>
        </is>
      </c>
      <c r="C7" s="2" t="inlineStr">
        <is>
          <t>USD terms, 2019 = 1</t>
        </is>
      </c>
      <c r="D7" s="2" t="inlineStr">
        <is>
          <t>pwmindex(c,t)</t>
        </is>
      </c>
      <c r="E7" t="inlineStr">
        <is>
          <t>index</t>
        </is>
      </c>
      <c r="F7" s="6" t="inlineStr">
        <is>
          <t>B</t>
        </is>
      </c>
      <c r="G7" s="5" t="n"/>
      <c r="H7" s="5" t="n"/>
      <c r="I7" s="5" t="n"/>
      <c r="J7" s="5" t="n"/>
      <c r="K7" s="5" t="n"/>
      <c r="L7" s="5" t="n"/>
      <c r="M7" s="5" t="n"/>
      <c r="N7" s="2" t="inlineStr">
        <is>
          <t>BRB / ISTEEBU import unit values; IMF WEO deflators</t>
        </is>
      </c>
    </row>
    <row r="8">
      <c r="A8" t="inlineStr">
        <is>
          <t>IN07</t>
        </is>
      </c>
      <c r="B8" s="2" t="inlineStr">
        <is>
          <t>Export price index</t>
        </is>
      </c>
      <c r="C8" s="2" t="inlineStr">
        <is>
          <t>Coffee, tea, gold dominate; USD terms</t>
        </is>
      </c>
      <c r="D8" s="2" t="inlineStr">
        <is>
          <t>pweindex(c,t)</t>
        </is>
      </c>
      <c r="E8" t="inlineStr">
        <is>
          <t>index</t>
        </is>
      </c>
      <c r="F8" s="6" t="inlineStr">
        <is>
          <t>B</t>
        </is>
      </c>
      <c r="G8" s="5" t="n"/>
      <c r="H8" s="5" t="n"/>
      <c r="I8" s="5" t="n"/>
      <c r="J8" s="5" t="n"/>
      <c r="K8" s="5" t="n"/>
      <c r="L8" s="5" t="n"/>
      <c r="M8" s="5" t="n"/>
      <c r="N8" s="2" t="inlineStr">
        <is>
          <t>ICO (coffee); World Bank Pink Sheet (tea, gold); BRB</t>
        </is>
      </c>
    </row>
    <row r="9">
      <c r="A9" t="inlineStr">
        <is>
          <t>IN08</t>
        </is>
      </c>
      <c r="B9" s="2" t="inlineStr">
        <is>
          <t>Government consumption</t>
        </is>
      </c>
      <c r="C9" s="2" t="inlineStr">
        <is>
          <t>Held flat at 10.7% of GDP from 2020 in the workbook.</t>
        </is>
      </c>
      <c r="D9" s="2" t="inlineStr">
        <is>
          <t>govspndgdp0('congov',t)</t>
        </is>
      </c>
      <c r="E9" t="inlineStr">
        <is>
          <t>% of GDP</t>
        </is>
      </c>
      <c r="F9" s="4" t="inlineStr">
        <is>
          <t>A</t>
        </is>
      </c>
      <c r="G9" s="5" t="n"/>
      <c r="H9" s="5" t="n"/>
      <c r="I9" s="5" t="n"/>
      <c r="J9" s="5" t="n"/>
      <c r="K9" s="5" t="n"/>
      <c r="L9" s="5" t="n"/>
      <c r="M9" s="5" t="n"/>
      <c r="N9" s="2" t="inlineStr">
        <is>
          <t>IMF Article IV fiscal tables; Ministry of Finance; BRB</t>
        </is>
      </c>
    </row>
    <row r="10">
      <c r="A10" t="inlineStr">
        <is>
          <t>IN09</t>
        </is>
      </c>
      <c r="B10" s="2" t="inlineStr">
        <is>
          <t>Government capital spending</t>
        </is>
      </c>
      <c r="C10" s="2" t="inlineStr">
        <is>
          <t>Public investment. The workbook path has a discontinuity in 2020 (checklist C1).</t>
        </is>
      </c>
      <c r="D10" s="2" t="inlineStr">
        <is>
          <t>govspndgdp0('f-capgov',t)</t>
        </is>
      </c>
      <c r="E10" t="inlineStr">
        <is>
          <t>% of GDP</t>
        </is>
      </c>
      <c r="F10" s="4" t="inlineStr">
        <is>
          <t>A</t>
        </is>
      </c>
      <c r="G10" s="5" t="n"/>
      <c r="H10" s="5" t="n"/>
      <c r="I10" s="5" t="n"/>
      <c r="J10" s="5" t="n"/>
      <c r="K10" s="5" t="n"/>
      <c r="L10" s="5" t="n"/>
      <c r="M10" s="5" t="n"/>
      <c r="N10" s="2" t="inlineStr">
        <is>
          <t>IMF Article IV fiscal tables; Ministry of Finance</t>
        </is>
      </c>
    </row>
    <row r="11">
      <c r="A11" t="inlineStr">
        <is>
          <t>IN10</t>
        </is>
      </c>
      <c r="B11" s="2" t="inlineStr">
        <is>
          <t>Tax revenue</t>
        </is>
      </c>
      <c r="C11" s="2" t="inlineStr">
        <is>
          <t>Total tax revenue</t>
        </is>
      </c>
      <c r="D11" s="2" t="inlineStr">
        <is>
          <t>govrecgdp0(tax,t)</t>
        </is>
      </c>
      <c r="E11" t="inlineStr">
        <is>
          <t>% of GDP</t>
        </is>
      </c>
      <c r="F11" s="6" t="inlineStr">
        <is>
          <t>B</t>
        </is>
      </c>
      <c r="G11" s="5" t="n"/>
      <c r="H11" s="5" t="n"/>
      <c r="I11" s="5" t="n"/>
      <c r="J11" s="5" t="n"/>
      <c r="K11" s="5" t="n"/>
      <c r="L11" s="5" t="n"/>
      <c r="M11" s="5" t="n"/>
      <c r="N11" s="2" t="inlineStr">
        <is>
          <t>IMF Article IV; OBR (Office Burundais des Recettes)</t>
        </is>
      </c>
    </row>
    <row r="12">
      <c r="A12" t="inlineStr">
        <is>
          <t>IN11</t>
        </is>
      </c>
      <c r="B12" s="2" t="inlineStr">
        <is>
          <t>Grants to government</t>
        </is>
      </c>
      <c r="C12" s="2" t="inlineStr">
        <is>
          <t>External grants</t>
        </is>
      </c>
      <c r="D12" s="2" t="inlineStr">
        <is>
          <t>govrecgdp0('trgovrow',t)</t>
        </is>
      </c>
      <c r="E12" t="inlineStr">
        <is>
          <t>% of GDP</t>
        </is>
      </c>
      <c r="F12" s="6" t="inlineStr">
        <is>
          <t>B</t>
        </is>
      </c>
      <c r="G12" s="5" t="n"/>
      <c r="H12" s="5" t="n"/>
      <c r="I12" s="5" t="n"/>
      <c r="J12" s="5" t="n"/>
      <c r="K12" s="5" t="n"/>
      <c r="L12" s="5" t="n"/>
      <c r="M12" s="5" t="n"/>
      <c r="N12" s="2" t="inlineStr">
        <is>
          <t>IMF Article IV</t>
        </is>
      </c>
    </row>
    <row r="13">
      <c r="A13" t="inlineStr">
        <is>
          <t>IN12</t>
        </is>
      </c>
      <c r="B13" s="2" t="inlineStr">
        <is>
          <t>Government domestic financing</t>
        </is>
      </c>
      <c r="C13" s="2" t="inlineStr">
        <is>
          <t>Net domestic borrowing</t>
        </is>
      </c>
      <c r="D13" s="2" t="inlineStr">
        <is>
          <t>govrecgdp0('netdomfin',t)</t>
        </is>
      </c>
      <c r="E13" t="inlineStr">
        <is>
          <t>% of GDP</t>
        </is>
      </c>
      <c r="F13" s="6" t="inlineStr">
        <is>
          <t>B</t>
        </is>
      </c>
      <c r="G13" s="5" t="n"/>
      <c r="H13" s="5" t="n"/>
      <c r="I13" s="5" t="n"/>
      <c r="J13" s="5" t="n"/>
      <c r="K13" s="5" t="n"/>
      <c r="L13" s="5" t="n"/>
      <c r="M13" s="5" t="n"/>
      <c r="N13" s="2" t="inlineStr">
        <is>
          <t>IMF Article IV; BRB</t>
        </is>
      </c>
    </row>
    <row r="14">
      <c r="A14" t="inlineStr">
        <is>
          <t>IN13</t>
        </is>
      </c>
      <c r="B14" s="2" t="inlineStr">
        <is>
          <t>Government external financing</t>
        </is>
      </c>
      <c r="C14" s="2" t="inlineStr">
        <is>
          <t>Net external borrowing</t>
        </is>
      </c>
      <c r="D14" s="2" t="inlineStr">
        <is>
          <t>govrecgdp0('netforfingov',t)</t>
        </is>
      </c>
      <c r="E14" t="inlineStr">
        <is>
          <t>% of GDP</t>
        </is>
      </c>
      <c r="F14" s="6" t="inlineStr">
        <is>
          <t>B</t>
        </is>
      </c>
      <c r="G14" s="5" t="n"/>
      <c r="H14" s="5" t="n"/>
      <c r="I14" s="5" t="n"/>
      <c r="J14" s="5" t="n"/>
      <c r="K14" s="5" t="n"/>
      <c r="L14" s="5" t="n"/>
      <c r="M14" s="5" t="n"/>
      <c r="N14" s="2" t="inlineStr">
        <is>
          <t>IMF Article IV</t>
        </is>
      </c>
    </row>
    <row r="15">
      <c r="A15" t="inlineStr">
        <is>
          <t>IN14</t>
        </is>
      </c>
      <c r="B15" s="2" t="inlineStr">
        <is>
          <t>Population, total</t>
        </is>
      </c>
      <c r="C15" s="2" t="inlineStr">
        <is>
          <t>Mid-year</t>
        </is>
      </c>
      <c r="D15" s="2" t="inlineStr">
        <is>
          <t>pop0(h,t)</t>
        </is>
      </c>
      <c r="E15" t="inlineStr">
        <is>
          <t>thousands</t>
        </is>
      </c>
      <c r="F15" s="6" t="inlineStr">
        <is>
          <t>B</t>
        </is>
      </c>
      <c r="G15" s="5" t="n"/>
      <c r="H15" s="5" t="n"/>
      <c r="I15" s="5" t="n"/>
      <c r="J15" s="5" t="n"/>
      <c r="K15" s="5" t="n"/>
      <c r="L15" s="5" t="n"/>
      <c r="M15" s="5" t="n"/>
      <c r="N15" s="2" t="inlineStr">
        <is>
          <t>ISTEEBU projections; UN World Population Prospects</t>
        </is>
      </c>
    </row>
    <row r="16">
      <c r="A16" t="inlineStr">
        <is>
          <t>IN15</t>
        </is>
      </c>
      <c r="B16" s="2" t="inlineStr">
        <is>
          <t>Population, working age (15-64)</t>
        </is>
      </c>
      <c r="C16" s="2" t="inlineStr">
        <is>
          <t>Mid-year</t>
        </is>
      </c>
      <c r="D16" s="2" t="inlineStr">
        <is>
          <t>pop0('agelab',t)</t>
        </is>
      </c>
      <c r="E16" t="inlineStr">
        <is>
          <t>thousands</t>
        </is>
      </c>
      <c r="F16" s="6" t="inlineStr">
        <is>
          <t>B</t>
        </is>
      </c>
      <c r="G16" s="5" t="n"/>
      <c r="H16" s="5" t="n"/>
      <c r="I16" s="5" t="n"/>
      <c r="J16" s="5" t="n"/>
      <c r="K16" s="5" t="n"/>
      <c r="L16" s="5" t="n"/>
      <c r="M16" s="5" t="n"/>
      <c r="N16" s="2" t="inlineStr">
        <is>
          <t>UN WPP; ILOSTAT</t>
        </is>
      </c>
    </row>
    <row r="17">
      <c r="A17" t="inlineStr">
        <is>
          <t>IN16</t>
        </is>
      </c>
      <c r="B17" s="2" t="inlineStr">
        <is>
          <t>Import quota / licensing changes</t>
        </is>
      </c>
      <c r="C17" s="2" t="inlineStr">
        <is>
          <t>Any change to fuel or chemicals import quotas or FX allocation for imports. Text is fine.</t>
        </is>
      </c>
      <c r="D17" s="2" t="inlineStr">
        <is>
          <t>qmbarindex0(c,t)</t>
        </is>
      </c>
      <c r="E17" t="inlineStr">
        <is>
          <t>text / index</t>
        </is>
      </c>
      <c r="F17" s="7" t="inlineStr">
        <is>
          <t>C</t>
        </is>
      </c>
      <c r="G17" s="5" t="n"/>
      <c r="H17" s="5" t="n"/>
      <c r="I17" s="5" t="n"/>
      <c r="J17" s="5" t="n"/>
      <c r="K17" s="5" t="n"/>
      <c r="L17" s="5" t="n"/>
      <c r="M17" s="5" t="n"/>
      <c r="N17" s="2" t="inlineStr">
        <is>
          <t>Ministry of Trade; BRB FX allocation circulars; IMF Article IV</t>
        </is>
      </c>
    </row>
    <row r="18">
      <c r="A18" t="inlineStr">
        <is>
          <t>IN17</t>
        </is>
      </c>
      <c r="B18" s="2" t="inlineStr">
        <is>
          <t>Interest rate, government domestic debt</t>
        </is>
      </c>
      <c r="C18" s="2" t="inlineStr">
        <is>
          <t>Effective rate</t>
        </is>
      </c>
      <c r="D18" s="2" t="inlineStr">
        <is>
          <t>gintrat0(t)</t>
        </is>
      </c>
      <c r="E18" t="inlineStr">
        <is>
          <t>%</t>
        </is>
      </c>
      <c r="F18" s="7" t="inlineStr">
        <is>
          <t>C</t>
        </is>
      </c>
      <c r="G18" s="5" t="n"/>
      <c r="H18" s="5" t="n"/>
      <c r="I18" s="5" t="n"/>
      <c r="J18" s="5" t="n"/>
      <c r="K18" s="5" t="n"/>
      <c r="L18" s="5" t="n"/>
      <c r="M18" s="5" t="n"/>
      <c r="N18" s="2" t="inlineStr">
        <is>
          <t>BRB; IMF DSA</t>
        </is>
      </c>
    </row>
    <row r="19">
      <c r="A19" t="inlineStr">
        <is>
          <t>IN18</t>
        </is>
      </c>
      <c r="B19" s="2" t="inlineStr">
        <is>
          <t>Interest rate, external debt</t>
        </is>
      </c>
      <c r="C19" s="2" t="inlineStr">
        <is>
          <t>Effective rate</t>
        </is>
      </c>
      <c r="D19" s="2" t="inlineStr">
        <is>
          <t>fintrat0(ins2,t)</t>
        </is>
      </c>
      <c r="E19" t="inlineStr">
        <is>
          <t>%</t>
        </is>
      </c>
      <c r="F19" s="7" t="inlineStr">
        <is>
          <t>C</t>
        </is>
      </c>
      <c r="G19" s="5" t="n"/>
      <c r="H19" s="5" t="n"/>
      <c r="I19" s="5" t="n"/>
      <c r="J19" s="5" t="n"/>
      <c r="K19" s="5" t="n"/>
      <c r="L19" s="5" t="n"/>
      <c r="M19" s="5" t="n"/>
      <c r="N19" s="2" t="inlineStr">
        <is>
          <t>IMF/WB Debt Sustainability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30" customWidth="1" min="4" max="4"/>
    <col width="16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4" customWidth="1" min="14" max="14"/>
    <col width="30" customWidth="1" min="15" max="15"/>
    <col width="30" customWidth="1" min="16" max="16"/>
  </cols>
  <sheetData>
    <row r="1" ht="32" customHeight="1">
      <c r="A1" s="3" t="inlineStr">
        <is>
          <t>ID</t>
        </is>
      </c>
      <c r="B1" s="3" t="inlineStr">
        <is>
          <t>Variable</t>
        </is>
      </c>
      <c r="C1" s="3" t="inlineStr">
        <is>
          <t>Description</t>
        </is>
      </c>
      <c r="D1" s="3" t="inlineStr">
        <is>
          <t>Model parameter / variable</t>
        </is>
      </c>
      <c r="E1" s="3" t="inlineStr">
        <is>
          <t>Unit</t>
        </is>
      </c>
      <c r="F1" s="3" t="inlineStr">
        <is>
          <t>Priority</t>
        </is>
      </c>
      <c r="G1" s="3" t="inlineStr">
        <is>
          <t>2019</t>
        </is>
      </c>
      <c r="H1" s="3" t="inlineStr">
        <is>
          <t>2020</t>
        </is>
      </c>
      <c r="I1" s="3" t="inlineStr">
        <is>
          <t>2021</t>
        </is>
      </c>
      <c r="J1" s="3" t="inlineStr">
        <is>
          <t>2022</t>
        </is>
      </c>
      <c r="K1" s="3" t="inlineStr">
        <is>
          <t>2023</t>
        </is>
      </c>
      <c r="L1" s="3" t="inlineStr">
        <is>
          <t>2024</t>
        </is>
      </c>
      <c r="M1" s="3" t="inlineStr">
        <is>
          <t>2025</t>
        </is>
      </c>
      <c r="N1" s="3" t="inlineStr">
        <is>
          <t>Ideal source</t>
        </is>
      </c>
      <c r="O1" s="3" t="inlineStr">
        <is>
          <t>Source used</t>
        </is>
      </c>
      <c r="P1" s="3" t="inlineStr">
        <is>
          <t>Notes</t>
        </is>
      </c>
    </row>
    <row r="2">
      <c r="A2" t="inlineStr">
        <is>
          <t>TG01</t>
        </is>
      </c>
      <c r="B2" s="2" t="inlineStr">
        <is>
          <t>Nominal GDP</t>
        </is>
      </c>
      <c r="C2" s="2" t="inlineStr">
        <is>
          <t>Current prices</t>
        </is>
      </c>
      <c r="D2" s="2" t="inlineStr">
        <is>
          <t>GDPMP</t>
        </is>
      </c>
      <c r="E2" t="inlineStr">
        <is>
          <t>BIF billions</t>
        </is>
      </c>
      <c r="F2" s="4" t="inlineStr">
        <is>
          <t>A</t>
        </is>
      </c>
      <c r="G2" s="5" t="n"/>
      <c r="H2" s="5" t="n"/>
      <c r="I2" s="5" t="n"/>
      <c r="J2" s="5" t="n"/>
      <c r="K2" s="5" t="n"/>
      <c r="L2" s="5" t="n"/>
      <c r="M2" s="5" t="n"/>
      <c r="N2" s="2" t="inlineStr">
        <is>
          <t>ISTEEBU comptes nationaux; IMF WEO</t>
        </is>
      </c>
    </row>
    <row r="3">
      <c r="A3" t="inlineStr">
        <is>
          <t>TG02</t>
        </is>
      </c>
      <c r="B3" s="2" t="inlineStr">
        <is>
          <t>CPI inflation</t>
        </is>
      </c>
      <c r="C3" s="2" t="inlineStr">
        <is>
          <t>Annual average</t>
        </is>
      </c>
      <c r="D3" s="2" t="inlineStr">
        <is>
          <t>CPI growth</t>
        </is>
      </c>
      <c r="E3" t="inlineStr">
        <is>
          <t>%</t>
        </is>
      </c>
      <c r="F3" s="4" t="inlineStr">
        <is>
          <t>A</t>
        </is>
      </c>
      <c r="G3" s="5" t="n"/>
      <c r="H3" s="5" t="n"/>
      <c r="I3" s="5" t="n"/>
      <c r="J3" s="5" t="n"/>
      <c r="K3" s="5" t="n"/>
      <c r="L3" s="5" t="n"/>
      <c r="M3" s="5" t="n"/>
      <c r="N3" s="2" t="inlineStr">
        <is>
          <t>ISTEEBU IPC; IMF IFS</t>
        </is>
      </c>
    </row>
    <row r="4">
      <c r="A4" t="inlineStr">
        <is>
          <t>TG03</t>
        </is>
      </c>
      <c r="B4" s="2" t="inlineStr">
        <is>
          <t>Exports of goods</t>
        </is>
      </c>
      <c r="C4" s="2" t="inlineStr">
        <is>
          <t>BoP basis</t>
        </is>
      </c>
      <c r="D4" s="2" t="inlineStr">
        <is>
          <t>Σ PWE·QE</t>
        </is>
      </c>
      <c r="E4" t="inlineStr">
        <is>
          <t>USD millions</t>
        </is>
      </c>
      <c r="F4" s="4" t="inlineStr">
        <is>
          <t>A</t>
        </is>
      </c>
      <c r="G4" s="5" t="n"/>
      <c r="H4" s="5" t="n"/>
      <c r="I4" s="5" t="n"/>
      <c r="J4" s="5" t="n"/>
      <c r="K4" s="5" t="n"/>
      <c r="L4" s="5" t="n"/>
      <c r="M4" s="5" t="n"/>
      <c r="N4" s="2" t="inlineStr">
        <is>
          <t>BRB balance of payments; IMF BoP statistics</t>
        </is>
      </c>
    </row>
    <row r="5">
      <c r="A5" t="inlineStr">
        <is>
          <t>TG04</t>
        </is>
      </c>
      <c r="B5" s="2" t="inlineStr">
        <is>
          <t>Exports of goods and services</t>
        </is>
      </c>
      <c r="C5" s="2" t="inlineStr">
        <is>
          <t>BoP basis</t>
        </is>
      </c>
      <c r="D5" s="2" t="inlineStr"/>
      <c r="E5" t="inlineStr">
        <is>
          <t>USD millions</t>
        </is>
      </c>
      <c r="F5" s="6" t="inlineStr">
        <is>
          <t>B</t>
        </is>
      </c>
      <c r="G5" s="5" t="n"/>
      <c r="H5" s="5" t="n"/>
      <c r="I5" s="5" t="n"/>
      <c r="J5" s="5" t="n"/>
      <c r="K5" s="5" t="n"/>
      <c r="L5" s="5" t="n"/>
      <c r="M5" s="5" t="n"/>
      <c r="N5" s="2" t="inlineStr">
        <is>
          <t>BRB balance of payments</t>
        </is>
      </c>
    </row>
    <row r="6">
      <c r="A6" t="inlineStr">
        <is>
          <t>TG05</t>
        </is>
      </c>
      <c r="B6" s="2" t="inlineStr">
        <is>
          <t>Imports of goods</t>
        </is>
      </c>
      <c r="C6" s="2" t="inlineStr">
        <is>
          <t>BoP basis</t>
        </is>
      </c>
      <c r="D6" s="2" t="inlineStr">
        <is>
          <t>Σ PWM·QM</t>
        </is>
      </c>
      <c r="E6" t="inlineStr">
        <is>
          <t>USD millions</t>
        </is>
      </c>
      <c r="F6" s="4" t="inlineStr">
        <is>
          <t>A</t>
        </is>
      </c>
      <c r="G6" s="5" t="n"/>
      <c r="H6" s="5" t="n"/>
      <c r="I6" s="5" t="n"/>
      <c r="J6" s="5" t="n"/>
      <c r="K6" s="5" t="n"/>
      <c r="L6" s="5" t="n"/>
      <c r="M6" s="5" t="n"/>
      <c r="N6" s="2" t="inlineStr">
        <is>
          <t>BRB balance of payments</t>
        </is>
      </c>
    </row>
    <row r="7">
      <c r="A7" t="inlineStr">
        <is>
          <t>TG06</t>
        </is>
      </c>
      <c r="B7" s="2" t="inlineStr">
        <is>
          <t>Imports of goods and services</t>
        </is>
      </c>
      <c r="C7" s="2" t="inlineStr">
        <is>
          <t>BoP basis</t>
        </is>
      </c>
      <c r="D7" s="2" t="inlineStr"/>
      <c r="E7" t="inlineStr">
        <is>
          <t>USD millions</t>
        </is>
      </c>
      <c r="F7" s="6" t="inlineStr">
        <is>
          <t>B</t>
        </is>
      </c>
      <c r="G7" s="5" t="n"/>
      <c r="H7" s="5" t="n"/>
      <c r="I7" s="5" t="n"/>
      <c r="J7" s="5" t="n"/>
      <c r="K7" s="5" t="n"/>
      <c r="L7" s="5" t="n"/>
      <c r="M7" s="5" t="n"/>
      <c r="N7" s="2" t="inlineStr">
        <is>
          <t>BRB balance of payments</t>
        </is>
      </c>
    </row>
    <row r="8">
      <c r="A8" t="inlineStr">
        <is>
          <t>TG07</t>
        </is>
      </c>
      <c r="B8" s="2" t="inlineStr">
        <is>
          <t>Current account balance</t>
        </is>
      </c>
      <c r="C8" s="2" t="inlineStr">
        <is>
          <t>Including grants</t>
        </is>
      </c>
      <c r="D8" s="2" t="inlineStr">
        <is>
          <t>SAVF (sign reversed)</t>
        </is>
      </c>
      <c r="E8" t="inlineStr">
        <is>
          <t>% of GDP</t>
        </is>
      </c>
      <c r="F8" s="4" t="inlineStr">
        <is>
          <t>A</t>
        </is>
      </c>
      <c r="G8" s="5" t="n"/>
      <c r="H8" s="5" t="n"/>
      <c r="I8" s="5" t="n"/>
      <c r="J8" s="5" t="n"/>
      <c r="K8" s="5" t="n"/>
      <c r="L8" s="5" t="n"/>
      <c r="M8" s="5" t="n"/>
      <c r="N8" s="2" t="inlineStr">
        <is>
          <t>BRB; IMF Article IV</t>
        </is>
      </c>
    </row>
    <row r="9">
      <c r="A9" t="inlineStr">
        <is>
          <t>TG08</t>
        </is>
      </c>
      <c r="B9" s="2" t="inlineStr">
        <is>
          <t>External public debt</t>
        </is>
      </c>
      <c r="C9" s="2" t="inlineStr">
        <is>
          <t>Government and guaranteed</t>
        </is>
      </c>
      <c r="D9" s="2" t="inlineStr">
        <is>
          <t>FDEBT('govz')</t>
        </is>
      </c>
      <c r="E9" t="inlineStr">
        <is>
          <t>USD millions or % GDP</t>
        </is>
      </c>
      <c r="F9" s="4" t="inlineStr">
        <is>
          <t>A</t>
        </is>
      </c>
      <c r="G9" s="5" t="n"/>
      <c r="H9" s="5" t="n"/>
      <c r="I9" s="5" t="n"/>
      <c r="J9" s="5" t="n"/>
      <c r="K9" s="5" t="n"/>
      <c r="L9" s="5" t="n"/>
      <c r="M9" s="5" t="n"/>
      <c r="N9" s="2" t="inlineStr">
        <is>
          <t>IMF Article IV / DSA; World Bank IDS</t>
        </is>
      </c>
    </row>
    <row r="10">
      <c r="A10" t="inlineStr">
        <is>
          <t>TG09</t>
        </is>
      </c>
      <c r="B10" s="2" t="inlineStr">
        <is>
          <t>External debt, total</t>
        </is>
      </c>
      <c r="C10" s="2" t="inlineStr">
        <is>
          <t>Public + private</t>
        </is>
      </c>
      <c r="D10" s="2" t="inlineStr">
        <is>
          <t>FDEBT total</t>
        </is>
      </c>
      <c r="E10" t="inlineStr">
        <is>
          <t>USD millions or % GDP</t>
        </is>
      </c>
      <c r="F10" s="6" t="inlineStr">
        <is>
          <t>B</t>
        </is>
      </c>
      <c r="G10" s="5" t="n"/>
      <c r="H10" s="5" t="n"/>
      <c r="I10" s="5" t="n"/>
      <c r="J10" s="5" t="n"/>
      <c r="K10" s="5" t="n"/>
      <c r="L10" s="5" t="n"/>
      <c r="M10" s="5" t="n"/>
      <c r="N10" s="2" t="inlineStr">
        <is>
          <t>World Bank IDS; IMF DSA</t>
        </is>
      </c>
    </row>
    <row r="11">
      <c r="A11" t="inlineStr">
        <is>
          <t>TG10</t>
        </is>
      </c>
      <c r="B11" s="2" t="inlineStr">
        <is>
          <t>Government domestic debt</t>
        </is>
      </c>
      <c r="C11" s="2" t="inlineStr"/>
      <c r="D11" s="2" t="inlineStr">
        <is>
          <t>GDEBT</t>
        </is>
      </c>
      <c r="E11" t="inlineStr">
        <is>
          <t>% of GDP</t>
        </is>
      </c>
      <c r="F11" s="6" t="inlineStr">
        <is>
          <t>B</t>
        </is>
      </c>
      <c r="G11" s="5" t="n"/>
      <c r="H11" s="5" t="n"/>
      <c r="I11" s="5" t="n"/>
      <c r="J11" s="5" t="n"/>
      <c r="K11" s="5" t="n"/>
      <c r="L11" s="5" t="n"/>
      <c r="M11" s="5" t="n"/>
      <c r="N11" s="2" t="inlineStr">
        <is>
          <t>IMF Article IV; BRB</t>
        </is>
      </c>
    </row>
    <row r="12">
      <c r="A12" t="inlineStr">
        <is>
          <t>TG11</t>
        </is>
      </c>
      <c r="B12" s="2" t="inlineStr">
        <is>
          <t>Gross fixed capital formation</t>
        </is>
      </c>
      <c r="C12" s="2" t="inlineStr">
        <is>
          <t>Total</t>
        </is>
      </c>
      <c r="D12" s="2" t="inlineStr">
        <is>
          <t>PrvFixInv+GovFixInv</t>
        </is>
      </c>
      <c r="E12" t="inlineStr">
        <is>
          <t>% of GDP</t>
        </is>
      </c>
      <c r="F12" s="4" t="inlineStr">
        <is>
          <t>A</t>
        </is>
      </c>
      <c r="G12" s="5" t="n"/>
      <c r="H12" s="5" t="n"/>
      <c r="I12" s="5" t="n"/>
      <c r="J12" s="5" t="n"/>
      <c r="K12" s="5" t="n"/>
      <c r="L12" s="5" t="n"/>
      <c r="M12" s="5" t="n"/>
      <c r="N12" s="2" t="inlineStr">
        <is>
          <t>ISTEEBU; World Bank WDI</t>
        </is>
      </c>
    </row>
    <row r="13">
      <c r="A13" t="inlineStr">
        <is>
          <t>TG12</t>
        </is>
      </c>
      <c r="B13" s="2" t="inlineStr">
        <is>
          <t>Private consumption</t>
        </is>
      </c>
      <c r="C13" s="2" t="inlineStr">
        <is>
          <t>Households + NPISH</t>
        </is>
      </c>
      <c r="D13" s="2" t="inlineStr">
        <is>
          <t>PrvCon</t>
        </is>
      </c>
      <c r="E13" t="inlineStr">
        <is>
          <t>% of GDP</t>
        </is>
      </c>
      <c r="F13" s="4" t="inlineStr">
        <is>
          <t>A</t>
        </is>
      </c>
      <c r="G13" s="5" t="n"/>
      <c r="H13" s="5" t="n"/>
      <c r="I13" s="5" t="n"/>
      <c r="J13" s="5" t="n"/>
      <c r="K13" s="5" t="n"/>
      <c r="L13" s="5" t="n"/>
      <c r="M13" s="5" t="n"/>
      <c r="N13" s="2" t="inlineStr">
        <is>
          <t>ISTEEBU; World Bank WDI</t>
        </is>
      </c>
    </row>
    <row r="14">
      <c r="A14" t="inlineStr">
        <is>
          <t>TG13</t>
        </is>
      </c>
      <c r="B14" s="2" t="inlineStr">
        <is>
          <t>Government consumption</t>
        </is>
      </c>
      <c r="C14" s="2" t="inlineStr">
        <is>
          <t>Same as IN08 — a target when the closure makes it endogenous</t>
        </is>
      </c>
      <c r="D14" s="2" t="inlineStr">
        <is>
          <t>GovCon</t>
        </is>
      </c>
      <c r="E14" t="inlineStr">
        <is>
          <t>% of GDP</t>
        </is>
      </c>
      <c r="F14" s="6" t="inlineStr">
        <is>
          <t>B</t>
        </is>
      </c>
      <c r="G14" s="5" t="n"/>
      <c r="H14" s="5" t="n"/>
      <c r="I14" s="5" t="n"/>
      <c r="J14" s="5" t="n"/>
      <c r="K14" s="5" t="n"/>
      <c r="L14" s="5" t="n"/>
      <c r="M14" s="5" t="n"/>
      <c r="N14" s="2" t="inlineStr">
        <is>
          <t>as IN08</t>
        </is>
      </c>
    </row>
    <row r="15">
      <c r="A15" t="inlineStr">
        <is>
          <t>TG14</t>
        </is>
      </c>
      <c r="B15" s="2" t="inlineStr">
        <is>
          <t>Unemployment rate</t>
        </is>
      </c>
      <c r="C15" s="2" t="inlineStr">
        <is>
          <t>Total, if any estimate exists</t>
        </is>
      </c>
      <c r="D15" s="2" t="inlineStr">
        <is>
          <t>UERAT</t>
        </is>
      </c>
      <c r="E15" t="inlineStr">
        <is>
          <t>%</t>
        </is>
      </c>
      <c r="F15" s="7" t="inlineStr">
        <is>
          <t>C</t>
        </is>
      </c>
      <c r="G15" s="5" t="n"/>
      <c r="H15" s="5" t="n"/>
      <c r="I15" s="5" t="n"/>
      <c r="J15" s="5" t="n"/>
      <c r="K15" s="5" t="n"/>
      <c r="L15" s="5" t="n"/>
      <c r="M15" s="5" t="n"/>
      <c r="N15" s="2" t="inlineStr">
        <is>
          <t>ILOSTAT modelled estimates; ISTEEBU survey</t>
        </is>
      </c>
    </row>
    <row r="16">
      <c r="A16" t="inlineStr">
        <is>
          <t>TG15</t>
        </is>
      </c>
      <c r="B16" s="2" t="inlineStr">
        <is>
          <t>Wages</t>
        </is>
      </c>
      <c r="C16" s="2" t="inlineStr">
        <is>
          <t>Nominal wage index or public-sector wage bill growth</t>
        </is>
      </c>
      <c r="D16" s="2" t="inlineStr">
        <is>
          <t>WF</t>
        </is>
      </c>
      <c r="E16" t="inlineStr">
        <is>
          <t>index or %</t>
        </is>
      </c>
      <c r="F16" s="7" t="inlineStr">
        <is>
          <t>C</t>
        </is>
      </c>
      <c r="G16" s="5" t="n"/>
      <c r="H16" s="5" t="n"/>
      <c r="I16" s="5" t="n"/>
      <c r="J16" s="5" t="n"/>
      <c r="K16" s="5" t="n"/>
      <c r="L16" s="5" t="n"/>
      <c r="M16" s="5" t="n"/>
      <c r="N16" s="2" t="inlineStr">
        <is>
          <t>ISTEEBU; Ministry of Finance</t>
        </is>
      </c>
    </row>
    <row r="17">
      <c r="A17" t="inlineStr">
        <is>
          <t>TG16</t>
        </is>
      </c>
      <c r="B17" s="2" t="inlineStr">
        <is>
          <t>FDI inflows</t>
        </is>
      </c>
      <c r="C17" s="2" t="inlineStr">
        <is>
          <t>Net</t>
        </is>
      </c>
      <c r="D17" s="2" t="inlineStr">
        <is>
          <t>INVVALF</t>
        </is>
      </c>
      <c r="E17" t="inlineStr">
        <is>
          <t>USD millions</t>
        </is>
      </c>
      <c r="F17" s="6" t="inlineStr">
        <is>
          <t>B</t>
        </is>
      </c>
      <c r="G17" s="5" t="n"/>
      <c r="H17" s="5" t="n"/>
      <c r="I17" s="5" t="n"/>
      <c r="J17" s="5" t="n"/>
      <c r="K17" s="5" t="n"/>
      <c r="L17" s="5" t="n"/>
      <c r="M17" s="5" t="n"/>
      <c r="N17" s="2" t="inlineStr">
        <is>
          <t>BRB BoP; UNCTAD</t>
        </is>
      </c>
    </row>
    <row r="18">
      <c r="A18" t="inlineStr">
        <is>
          <t>TG17</t>
        </is>
      </c>
      <c r="B18" s="2" t="inlineStr">
        <is>
          <t>Remittances</t>
        </is>
      </c>
      <c r="C18" s="2" t="inlineStr">
        <is>
          <t>Inflows</t>
        </is>
      </c>
      <c r="D18" s="2" t="inlineStr">
        <is>
          <t>TRII(row,h)</t>
        </is>
      </c>
      <c r="E18" t="inlineStr">
        <is>
          <t>USD millions</t>
        </is>
      </c>
      <c r="F18" s="6" t="inlineStr">
        <is>
          <t>B</t>
        </is>
      </c>
      <c r="G18" s="5" t="n"/>
      <c r="H18" s="5" t="n"/>
      <c r="I18" s="5" t="n"/>
      <c r="J18" s="5" t="n"/>
      <c r="K18" s="5" t="n"/>
      <c r="L18" s="5" t="n"/>
      <c r="M18" s="5" t="n"/>
      <c r="N18" s="2" t="inlineStr">
        <is>
          <t>BRB BoP; World Bank remittance data</t>
        </is>
      </c>
    </row>
    <row r="19">
      <c r="A19" t="inlineStr">
        <is>
          <t>TG18</t>
        </is>
      </c>
      <c r="B19" s="2" t="inlineStr">
        <is>
          <t>Official reserves</t>
        </is>
      </c>
      <c r="C19" s="2" t="inlineStr">
        <is>
          <t>End-year; or months of imports</t>
        </is>
      </c>
      <c r="D19" s="2" t="inlineStr">
        <is>
          <t>drf</t>
        </is>
      </c>
      <c r="E19" t="inlineStr">
        <is>
          <t>USD millions</t>
        </is>
      </c>
      <c r="F19" s="6" t="inlineStr">
        <is>
          <t>B</t>
        </is>
      </c>
      <c r="G19" s="5" t="n"/>
      <c r="H19" s="5" t="n"/>
      <c r="I19" s="5" t="n"/>
      <c r="J19" s="5" t="n"/>
      <c r="K19" s="5" t="n"/>
      <c r="L19" s="5" t="n"/>
      <c r="M19" s="5" t="n"/>
      <c r="N19" s="2" t="inlineStr">
        <is>
          <t>BRB; IMF Article IV</t>
        </is>
      </c>
    </row>
    <row r="20">
      <c r="A20" t="inlineStr">
        <is>
          <t>TG19</t>
        </is>
      </c>
      <c r="B20" s="2" t="inlineStr">
        <is>
          <t>Coffee exports</t>
        </is>
      </c>
      <c r="C20" s="2" t="inlineStr">
        <is>
          <t>Value and volume</t>
        </is>
      </c>
      <c r="D20" s="2" t="inlineStr">
        <is>
          <t>QE('c-agr')/('c-food')</t>
        </is>
      </c>
      <c r="E20" t="inlineStr">
        <is>
          <t>USD mn; tonnes</t>
        </is>
      </c>
      <c r="F20" s="6" t="inlineStr">
        <is>
          <t>B</t>
        </is>
      </c>
      <c r="G20" s="5" t="n"/>
      <c r="H20" s="5" t="n"/>
      <c r="I20" s="5" t="n"/>
      <c r="J20" s="5" t="n"/>
      <c r="K20" s="5" t="n"/>
      <c r="L20" s="5" t="n"/>
      <c r="M20" s="5" t="n"/>
      <c r="N20" s="2" t="inlineStr">
        <is>
          <t>BRB; ICO; OCIBU/ARFIC</t>
        </is>
      </c>
    </row>
    <row r="21">
      <c r="A21" t="inlineStr">
        <is>
          <t>TG20</t>
        </is>
      </c>
      <c r="B21" s="2" t="inlineStr">
        <is>
          <t>Mining exports (gold, rare earths, nickel)</t>
        </is>
      </c>
      <c r="C21" s="2" t="inlineStr">
        <is>
          <t>Value. Relevant to the combi scenario later.</t>
        </is>
      </c>
      <c r="D21" s="2" t="inlineStr">
        <is>
          <t>QE('c-min')</t>
        </is>
      </c>
      <c r="E21" t="inlineStr">
        <is>
          <t>USD millions</t>
        </is>
      </c>
      <c r="F21" s="6" t="inlineStr">
        <is>
          <t>B</t>
        </is>
      </c>
      <c r="G21" s="5" t="n"/>
      <c r="H21" s="5" t="n"/>
      <c r="I21" s="5" t="n"/>
      <c r="J21" s="5" t="n"/>
      <c r="K21" s="5" t="n"/>
      <c r="L21" s="5" t="n"/>
      <c r="M21" s="5" t="n"/>
      <c r="N21" s="2" t="inlineStr">
        <is>
          <t>BRB; EITI Burundi; ISTEEBU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14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30" customWidth="1" min="13" max="13"/>
    <col width="30" customWidth="1" min="14" max="14"/>
  </cols>
  <sheetData>
    <row r="1" ht="32" customHeight="1">
      <c r="A1" s="3" t="inlineStr">
        <is>
          <t>Model sector</t>
        </is>
      </c>
      <c r="B1" s="3" t="inlineStr">
        <is>
          <t>Description</t>
        </is>
      </c>
      <c r="C1" s="3" t="inlineStr">
        <is>
          <t>National-accounts category you mapped it to</t>
        </is>
      </c>
      <c r="D1" s="3" t="inlineStr">
        <is>
          <t>2019 model VA share (%)</t>
        </is>
      </c>
      <c r="E1" s="3" t="inlineStr">
        <is>
          <t>Unit of your data</t>
        </is>
      </c>
      <c r="F1" s="3" t="inlineStr">
        <is>
          <t>2019 actual</t>
        </is>
      </c>
      <c r="G1" s="3" t="inlineStr">
        <is>
          <t>2020 actual</t>
        </is>
      </c>
      <c r="H1" s="3" t="inlineStr">
        <is>
          <t>2021 actual</t>
        </is>
      </c>
      <c r="I1" s="3" t="inlineStr">
        <is>
          <t>2022 actual</t>
        </is>
      </c>
      <c r="J1" s="3" t="inlineStr">
        <is>
          <t>2023 actual</t>
        </is>
      </c>
      <c r="K1" s="3" t="inlineStr">
        <is>
          <t>2024 actual</t>
        </is>
      </c>
      <c r="L1" s="3" t="inlineStr">
        <is>
          <t>2025 actual</t>
        </is>
      </c>
      <c r="M1" s="3" t="inlineStr">
        <is>
          <t>Source used</t>
        </is>
      </c>
      <c r="N1" s="3" t="inlineStr">
        <is>
          <t>Notes</t>
        </is>
      </c>
    </row>
    <row r="2">
      <c r="A2" t="inlineStr">
        <is>
          <t>a-agr</t>
        </is>
      </c>
      <c r="B2" s="2" t="inlineStr">
        <is>
          <t>Agriculture, livestock, forestry, fishing</t>
        </is>
      </c>
      <c r="C2" s="2" t="n"/>
      <c r="D2" s="8" t="n">
        <v>41.253</v>
      </c>
      <c r="E2" s="2" t="inlineStr">
        <is>
          <t>VA, BIF bn current  OR  real growth %  OR  share %</t>
        </is>
      </c>
    </row>
    <row r="3">
      <c r="A3" t="inlineStr">
        <is>
          <t>a-min</t>
        </is>
      </c>
      <c r="B3" s="2" t="inlineStr">
        <is>
          <t>Mining and quarrying</t>
        </is>
      </c>
      <c r="C3" s="2" t="n"/>
      <c r="D3" s="8" t="n">
        <v>2.274</v>
      </c>
      <c r="E3" s="2" t="inlineStr">
        <is>
          <t>VA, BIF bn current  OR  real growth %  OR  share %</t>
        </is>
      </c>
    </row>
    <row r="4">
      <c r="A4" t="inlineStr">
        <is>
          <t>a-food</t>
        </is>
      </c>
      <c r="B4" s="2" t="inlineStr">
        <is>
          <t>Food, beverages, tobacco</t>
        </is>
      </c>
      <c r="C4" s="2" t="n"/>
      <c r="D4" s="8" t="n">
        <v>7.184</v>
      </c>
      <c r="E4" s="2" t="inlineStr">
        <is>
          <t>VA, BIF bn current  OR  real growth %  OR  share %</t>
        </is>
      </c>
    </row>
    <row r="5">
      <c r="A5" t="inlineStr">
        <is>
          <t>a-texwapp</t>
        </is>
      </c>
      <c r="B5" s="2" t="inlineStr">
        <is>
          <t>Textiles and apparel</t>
        </is>
      </c>
      <c r="C5" s="2" t="n"/>
      <c r="D5" s="8" t="n">
        <v>0.285</v>
      </c>
      <c r="E5" s="2" t="inlineStr">
        <is>
          <t>VA, BIF bn current  OR  real growth %  OR  share %</t>
        </is>
      </c>
    </row>
    <row r="6">
      <c r="A6" t="inlineStr">
        <is>
          <t>a-woodpaper</t>
        </is>
      </c>
      <c r="B6" s="2" t="inlineStr">
        <is>
          <t>Wood and paper products</t>
        </is>
      </c>
      <c r="C6" s="2" t="n"/>
      <c r="D6" s="8" t="n">
        <v>0.527</v>
      </c>
      <c r="E6" s="2" t="inlineStr">
        <is>
          <t>VA, BIF bn current  OR  real growth %  OR  share %</t>
        </is>
      </c>
    </row>
    <row r="7">
      <c r="A7" t="inlineStr">
        <is>
          <t>a-chemplast</t>
        </is>
      </c>
      <c r="B7" s="2" t="inlineStr">
        <is>
          <t>Chemicals and plastics (incl. refined petroleum?)</t>
        </is>
      </c>
      <c r="C7" s="2" t="n"/>
      <c r="D7" s="8" t="n">
        <v>1.052</v>
      </c>
      <c r="E7" s="2" t="inlineStr">
        <is>
          <t>VA, BIF bn current  OR  real growth %  OR  share %</t>
        </is>
      </c>
    </row>
    <row r="8">
      <c r="A8" t="inlineStr">
        <is>
          <t>a-prodminnmet</t>
        </is>
      </c>
      <c r="B8" s="2" t="inlineStr">
        <is>
          <t>Non-metallic mineral products (cement etc.)</t>
        </is>
      </c>
      <c r="C8" s="2" t="n"/>
      <c r="D8" s="8" t="n">
        <v>0.584</v>
      </c>
      <c r="E8" s="2" t="inlineStr">
        <is>
          <t>VA, BIF bn current  OR  real growth %  OR  share %</t>
        </is>
      </c>
    </row>
    <row r="9">
      <c r="A9" t="inlineStr">
        <is>
          <t>a-met</t>
        </is>
      </c>
      <c r="B9" s="2" t="inlineStr">
        <is>
          <t>Metals and metal products</t>
        </is>
      </c>
      <c r="C9" s="2" t="n"/>
      <c r="D9" s="8" t="n">
        <v>0.386</v>
      </c>
      <c r="E9" s="2" t="inlineStr">
        <is>
          <t>VA, BIF bn current  OR  real growth %  OR  share %</t>
        </is>
      </c>
    </row>
    <row r="10">
      <c r="A10" t="inlineStr">
        <is>
          <t>a-oman</t>
        </is>
      </c>
      <c r="B10" s="2" t="inlineStr">
        <is>
          <t>Other manufacturing</t>
        </is>
      </c>
      <c r="C10" s="2" t="n"/>
      <c r="D10" s="8" t="n">
        <v>1.008</v>
      </c>
      <c r="E10" s="2" t="inlineStr">
        <is>
          <t>VA, BIF bn current  OR  real growth %  OR  share %</t>
        </is>
      </c>
    </row>
    <row r="11">
      <c r="A11" t="inlineStr">
        <is>
          <t>a-elect</t>
        </is>
      </c>
      <c r="B11" s="2" t="inlineStr">
        <is>
          <t>Electricity</t>
        </is>
      </c>
      <c r="C11" s="2" t="n"/>
      <c r="D11" s="8" t="n">
        <v>0.285</v>
      </c>
      <c r="E11" s="2" t="inlineStr">
        <is>
          <t>VA, BIF bn current  OR  real growth %  OR  share %</t>
        </is>
      </c>
    </row>
    <row r="12">
      <c r="A12" t="inlineStr">
        <is>
          <t>a-water</t>
        </is>
      </c>
      <c r="B12" s="2" t="inlineStr">
        <is>
          <t>Water</t>
        </is>
      </c>
      <c r="C12" s="2" t="n"/>
      <c r="D12" s="8" t="n">
        <v>1.124</v>
      </c>
      <c r="E12" s="2" t="inlineStr">
        <is>
          <t>VA, BIF bn current  OR  real growth %  OR  share %</t>
        </is>
      </c>
    </row>
    <row r="13">
      <c r="A13" t="inlineStr">
        <is>
          <t>a-construc</t>
        </is>
      </c>
      <c r="B13" s="2" t="inlineStr">
        <is>
          <t>Construction</t>
        </is>
      </c>
      <c r="C13" s="2" t="n"/>
      <c r="D13" s="8" t="n">
        <v>1.553</v>
      </c>
      <c r="E13" s="2" t="inlineStr">
        <is>
          <t>VA, BIF bn current  OR  real growth %  OR  share %</t>
        </is>
      </c>
    </row>
    <row r="14">
      <c r="A14" t="inlineStr">
        <is>
          <t>a-trade</t>
        </is>
      </c>
      <c r="B14" s="2" t="inlineStr">
        <is>
          <t>Trade (wholesale, retail)</t>
        </is>
      </c>
      <c r="C14" s="2" t="n"/>
      <c r="D14" s="8" t="n">
        <v>8.884</v>
      </c>
      <c r="E14" s="2" t="inlineStr">
        <is>
          <t>VA, BIF bn current  OR  real growth %  OR  share %</t>
        </is>
      </c>
    </row>
    <row r="15">
      <c r="A15" t="inlineStr">
        <is>
          <t>a-transp</t>
        </is>
      </c>
      <c r="B15" s="2" t="inlineStr">
        <is>
          <t>Transport and communications</t>
        </is>
      </c>
      <c r="C15" s="2" t="n"/>
      <c r="D15" s="8" t="n">
        <v>1.364</v>
      </c>
      <c r="E15" s="2" t="inlineStr">
        <is>
          <t>VA, BIF bn current  OR  real growth %  OR  share %</t>
        </is>
      </c>
    </row>
    <row r="16">
      <c r="A16" t="inlineStr">
        <is>
          <t>a-hotelrest</t>
        </is>
      </c>
      <c r="B16" s="2" t="inlineStr">
        <is>
          <t>Hotels and restaurants</t>
        </is>
      </c>
      <c r="C16" s="2" t="n"/>
      <c r="D16" s="8" t="n">
        <v>2.509</v>
      </c>
      <c r="E16" s="2" t="inlineStr">
        <is>
          <t>VA, BIF bn current  OR  real growth %  OR  share %</t>
        </is>
      </c>
    </row>
    <row r="17">
      <c r="A17" t="inlineStr">
        <is>
          <t>a-admpub</t>
        </is>
      </c>
      <c r="B17" s="2" t="inlineStr">
        <is>
          <t>Public administration</t>
        </is>
      </c>
      <c r="C17" s="2" t="n"/>
      <c r="D17" s="8" t="n">
        <v>4.533</v>
      </c>
      <c r="E17" s="2" t="inlineStr">
        <is>
          <t>VA, BIF bn current  OR  real growth %  OR  share %</t>
        </is>
      </c>
    </row>
    <row r="18">
      <c r="A18" t="inlineStr">
        <is>
          <t>a-edu</t>
        </is>
      </c>
      <c r="B18" s="2" t="inlineStr">
        <is>
          <t>Education</t>
        </is>
      </c>
      <c r="C18" s="2" t="n"/>
      <c r="D18" s="8" t="n">
        <v>3.936</v>
      </c>
      <c r="E18" s="2" t="inlineStr">
        <is>
          <t>VA, BIF bn current  OR  real growth %  OR  share %</t>
        </is>
      </c>
    </row>
    <row r="19">
      <c r="A19" t="inlineStr">
        <is>
          <t>a-health</t>
        </is>
      </c>
      <c r="B19" s="2" t="inlineStr">
        <is>
          <t>Health</t>
        </is>
      </c>
      <c r="C19" s="2" t="n"/>
      <c r="D19" s="8" t="n">
        <v>1.873</v>
      </c>
      <c r="E19" s="2" t="inlineStr">
        <is>
          <t>VA, BIF bn current  OR  real growth %  OR  share %</t>
        </is>
      </c>
    </row>
    <row r="20">
      <c r="A20" t="inlineStr">
        <is>
          <t>a-oser</t>
        </is>
      </c>
      <c r="B20" s="2" t="inlineStr">
        <is>
          <t>Other services</t>
        </is>
      </c>
      <c r="C20" s="2" t="n"/>
      <c r="D20" s="8" t="n">
        <v>19.386</v>
      </c>
      <c r="E20" s="2" t="inlineStr">
        <is>
          <t>VA, BIF bn current  OR  real growth %  OR  share %</t>
        </is>
      </c>
    </row>
    <row r="21">
      <c r="A21" t="inlineStr">
        <is>
          <t>TOTAL</t>
        </is>
      </c>
      <c r="B21" t="inlineStr">
        <is>
          <t>Sum of the above</t>
        </is>
      </c>
      <c r="D21" s="8" t="n">
        <v>100</v>
      </c>
      <c r="E21" t="inlineStr">
        <is>
          <t>GDP at factor cost</t>
        </is>
      </c>
    </row>
    <row r="23" ht="48" customHeight="1">
      <c r="A23" s="2" t="inlineStr">
        <is>
          <t>Fill whatever form your national accounts give — nominal value added, real growth, or shares. State which in the Unit column. Coarser categories (e.g. 'manufacturing' covering a-food through a-oman) are fine: write the same category name against each model sector it covers and give the total once.</t>
        </is>
      </c>
    </row>
  </sheetData>
  <mergeCells count="1">
    <mergeCell ref="A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9" customWidth="1" min="3" max="3"/>
    <col width="16" customWidth="1" min="4" max="4"/>
    <col width="12" customWidth="1" min="5" max="5"/>
    <col width="2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30" customWidth="1" min="14" max="14"/>
    <col width="30" customWidth="1" min="15" max="15"/>
  </cols>
  <sheetData>
    <row r="1" ht="32" customHeight="1">
      <c r="A1" s="3" t="inlineStr">
        <is>
          <t>Model commodity</t>
        </is>
      </c>
      <c r="B1" s="3" t="inlineStr">
        <is>
          <t>Description</t>
        </is>
      </c>
      <c r="C1" s="3" t="inlineStr">
        <is>
          <t>Flow</t>
        </is>
      </c>
      <c r="D1" s="3" t="inlineStr">
        <is>
          <t>2019 model value (SAM units, 10 bn BIF)</t>
        </is>
      </c>
      <c r="E1" s="3" t="inlineStr">
        <is>
          <t>2019 model % of GDP</t>
        </is>
      </c>
      <c r="F1" s="3" t="inlineStr">
        <is>
          <t>Unit of your data</t>
        </is>
      </c>
      <c r="G1" s="3" t="inlineStr">
        <is>
          <t>2019 actual</t>
        </is>
      </c>
      <c r="H1" s="3" t="inlineStr">
        <is>
          <t>2020 actual</t>
        </is>
      </c>
      <c r="I1" s="3" t="inlineStr">
        <is>
          <t>2021 actual</t>
        </is>
      </c>
      <c r="J1" s="3" t="inlineStr">
        <is>
          <t>2022 actual</t>
        </is>
      </c>
      <c r="K1" s="3" t="inlineStr">
        <is>
          <t>2023 actual</t>
        </is>
      </c>
      <c r="L1" s="3" t="inlineStr">
        <is>
          <t>2024 actual</t>
        </is>
      </c>
      <c r="M1" s="3" t="inlineStr">
        <is>
          <t>2025 actual</t>
        </is>
      </c>
      <c r="N1" s="3" t="inlineStr">
        <is>
          <t>Source used</t>
        </is>
      </c>
      <c r="O1" s="3" t="inlineStr">
        <is>
          <t>Notes</t>
        </is>
      </c>
    </row>
    <row r="2">
      <c r="A2" t="inlineStr">
        <is>
          <t>c-agr</t>
        </is>
      </c>
      <c r="B2" s="2" t="inlineStr">
        <is>
          <t>Agriculture, livestock, forestry, fishing</t>
        </is>
      </c>
      <c r="C2" t="inlineStr">
        <is>
          <t>exports</t>
        </is>
      </c>
      <c r="D2" s="8" t="n">
        <v>14.1853</v>
      </c>
      <c r="E2" s="8" t="n">
        <v>1.255</v>
      </c>
      <c r="F2" t="inlineStr">
        <is>
          <t>USD mn  OR  BIF bn</t>
        </is>
      </c>
    </row>
    <row r="3">
      <c r="A3" t="inlineStr">
        <is>
          <t>c-agr</t>
        </is>
      </c>
      <c r="B3" s="2" t="inlineStr">
        <is>
          <t>Agriculture, livestock, forestry, fishing</t>
        </is>
      </c>
      <c r="C3" t="inlineStr">
        <is>
          <t>imports</t>
        </is>
      </c>
      <c r="D3" s="8" t="n">
        <v>9.7667</v>
      </c>
      <c r="E3" s="8" t="n">
        <v>0.864</v>
      </c>
      <c r="F3" t="inlineStr">
        <is>
          <t>USD mn  OR  BIF bn</t>
        </is>
      </c>
    </row>
    <row r="4">
      <c r="A4" t="inlineStr">
        <is>
          <t>c-min</t>
        </is>
      </c>
      <c r="B4" s="2" t="inlineStr">
        <is>
          <t>Mining and quarrying</t>
        </is>
      </c>
      <c r="C4" t="inlineStr">
        <is>
          <t>exports</t>
        </is>
      </c>
      <c r="D4" s="8" t="n">
        <v>16.3468</v>
      </c>
      <c r="E4" s="8" t="n">
        <v>1.447</v>
      </c>
      <c r="F4" t="inlineStr">
        <is>
          <t>USD mn  OR  BIF bn</t>
        </is>
      </c>
    </row>
    <row r="5">
      <c r="A5" t="inlineStr">
        <is>
          <t>c-min</t>
        </is>
      </c>
      <c r="B5" s="2" t="inlineStr">
        <is>
          <t>Mining and quarrying</t>
        </is>
      </c>
      <c r="C5" t="inlineStr">
        <is>
          <t>imports</t>
        </is>
      </c>
      <c r="D5" s="8" t="n">
        <v>0.1213</v>
      </c>
      <c r="E5" s="8" t="n">
        <v>0.011</v>
      </c>
      <c r="F5" t="inlineStr">
        <is>
          <t>USD mn  OR  BIF bn</t>
        </is>
      </c>
    </row>
    <row r="6">
      <c r="A6" t="inlineStr">
        <is>
          <t>c-food</t>
        </is>
      </c>
      <c r="B6" s="2" t="inlineStr">
        <is>
          <t>Food, beverages, tobacco</t>
        </is>
      </c>
      <c r="C6" t="inlineStr">
        <is>
          <t>exports</t>
        </is>
      </c>
      <c r="D6" s="8" t="n">
        <v>11.7826</v>
      </c>
      <c r="E6" s="8" t="n">
        <v>1.043</v>
      </c>
      <c r="F6" t="inlineStr">
        <is>
          <t>USD mn  OR  BIF bn</t>
        </is>
      </c>
    </row>
    <row r="7">
      <c r="A7" t="inlineStr">
        <is>
          <t>c-food</t>
        </is>
      </c>
      <c r="B7" s="2" t="inlineStr">
        <is>
          <t>Food, beverages, tobacco</t>
        </is>
      </c>
      <c r="C7" t="inlineStr">
        <is>
          <t>imports</t>
        </is>
      </c>
      <c r="D7" s="8" t="n">
        <v>14.8131</v>
      </c>
      <c r="E7" s="8" t="n">
        <v>1.311</v>
      </c>
      <c r="F7" t="inlineStr">
        <is>
          <t>USD mn  OR  BIF bn</t>
        </is>
      </c>
    </row>
    <row r="8">
      <c r="A8" t="inlineStr">
        <is>
          <t>c-texwapp</t>
        </is>
      </c>
      <c r="B8" s="2" t="inlineStr">
        <is>
          <t>Textiles and apparel</t>
        </is>
      </c>
      <c r="C8" t="inlineStr">
        <is>
          <t>exports</t>
        </is>
      </c>
      <c r="D8" s="8" t="n">
        <v>0.712</v>
      </c>
      <c r="E8" s="8" t="n">
        <v>0.063</v>
      </c>
      <c r="F8" t="inlineStr">
        <is>
          <t>USD mn  OR  BIF bn</t>
        </is>
      </c>
    </row>
    <row r="9">
      <c r="A9" t="inlineStr">
        <is>
          <t>c-texwapp</t>
        </is>
      </c>
      <c r="B9" s="2" t="inlineStr">
        <is>
          <t>Textiles and apparel</t>
        </is>
      </c>
      <c r="C9" t="inlineStr">
        <is>
          <t>imports</t>
        </is>
      </c>
      <c r="D9" s="8" t="n">
        <v>9.9581</v>
      </c>
      <c r="E9" s="8" t="n">
        <v>0.881</v>
      </c>
      <c r="F9" t="inlineStr">
        <is>
          <t>USD mn  OR  BIF bn</t>
        </is>
      </c>
    </row>
    <row r="10">
      <c r="A10" t="inlineStr">
        <is>
          <t>c-woodpaper</t>
        </is>
      </c>
      <c r="B10" s="2" t="inlineStr">
        <is>
          <t>Wood and paper products</t>
        </is>
      </c>
      <c r="C10" t="inlineStr">
        <is>
          <t>exports</t>
        </is>
      </c>
      <c r="D10" s="8" t="n">
        <v>0.0738</v>
      </c>
      <c r="E10" s="8" t="n">
        <v>0.007</v>
      </c>
      <c r="F10" t="inlineStr">
        <is>
          <t>USD mn  OR  BIF bn</t>
        </is>
      </c>
    </row>
    <row r="11">
      <c r="A11" t="inlineStr">
        <is>
          <t>c-woodpaper</t>
        </is>
      </c>
      <c r="B11" s="2" t="inlineStr">
        <is>
          <t>Wood and paper products</t>
        </is>
      </c>
      <c r="C11" t="inlineStr">
        <is>
          <t>imports</t>
        </is>
      </c>
      <c r="D11" s="8" t="n">
        <v>3.3749</v>
      </c>
      <c r="E11" s="8" t="n">
        <v>0.299</v>
      </c>
      <c r="F11" t="inlineStr">
        <is>
          <t>USD mn  OR  BIF bn</t>
        </is>
      </c>
    </row>
    <row r="12">
      <c r="A12" t="inlineStr">
        <is>
          <t>c-refpet</t>
        </is>
      </c>
      <c r="B12" s="2" t="inlineStr"/>
      <c r="C12" t="inlineStr">
        <is>
          <t>imports</t>
        </is>
      </c>
      <c r="D12" s="8" t="n">
        <v>24.9843</v>
      </c>
      <c r="E12" s="8" t="n">
        <v>2.211</v>
      </c>
      <c r="F12" t="inlineStr">
        <is>
          <t>USD mn  OR  BIF bn</t>
        </is>
      </c>
    </row>
    <row r="13">
      <c r="A13" t="inlineStr">
        <is>
          <t>c-chemplast</t>
        </is>
      </c>
      <c r="B13" s="2" t="inlineStr">
        <is>
          <t>Chemicals and plastics (incl. refined petroleum?)</t>
        </is>
      </c>
      <c r="C13" t="inlineStr">
        <is>
          <t>exports</t>
        </is>
      </c>
      <c r="D13" s="8" t="n">
        <v>2.6797</v>
      </c>
      <c r="E13" s="8" t="n">
        <v>0.237</v>
      </c>
      <c r="F13" t="inlineStr">
        <is>
          <t>USD mn  OR  BIF bn</t>
        </is>
      </c>
    </row>
    <row r="14">
      <c r="A14" t="inlineStr">
        <is>
          <t>c-chemplast</t>
        </is>
      </c>
      <c r="B14" s="2" t="inlineStr">
        <is>
          <t>Chemicals and plastics (incl. refined petroleum?)</t>
        </is>
      </c>
      <c r="C14" t="inlineStr">
        <is>
          <t>imports</t>
        </is>
      </c>
      <c r="D14" s="8" t="n">
        <v>28.3148</v>
      </c>
      <c r="E14" s="8" t="n">
        <v>2.506</v>
      </c>
      <c r="F14" t="inlineStr">
        <is>
          <t>USD mn  OR  BIF bn</t>
        </is>
      </c>
    </row>
    <row r="15">
      <c r="A15" t="inlineStr">
        <is>
          <t>c-prodminnmet</t>
        </is>
      </c>
      <c r="B15" s="2" t="inlineStr">
        <is>
          <t>Non-metallic mineral products (cement etc.)</t>
        </is>
      </c>
      <c r="C15" t="inlineStr">
        <is>
          <t>exports</t>
        </is>
      </c>
      <c r="D15" s="8" t="n">
        <v>0.7887999999999999</v>
      </c>
      <c r="E15" s="8" t="n">
        <v>0.07000000000000001</v>
      </c>
      <c r="F15" t="inlineStr">
        <is>
          <t>USD mn  OR  BIF bn</t>
        </is>
      </c>
    </row>
    <row r="16">
      <c r="A16" t="inlineStr">
        <is>
          <t>c-prodminnmet</t>
        </is>
      </c>
      <c r="B16" s="2" t="inlineStr">
        <is>
          <t>Non-metallic mineral products (cement etc.)</t>
        </is>
      </c>
      <c r="C16" t="inlineStr">
        <is>
          <t>imports</t>
        </is>
      </c>
      <c r="D16" s="8" t="n">
        <v>6.5384</v>
      </c>
      <c r="E16" s="8" t="n">
        <v>0.579</v>
      </c>
      <c r="F16" t="inlineStr">
        <is>
          <t>USD mn  OR  BIF bn</t>
        </is>
      </c>
    </row>
    <row r="17">
      <c r="A17" t="inlineStr">
        <is>
          <t>c-met</t>
        </is>
      </c>
      <c r="B17" s="2" t="inlineStr">
        <is>
          <t>Metals and metal products</t>
        </is>
      </c>
      <c r="C17" t="inlineStr">
        <is>
          <t>exports</t>
        </is>
      </c>
      <c r="D17" s="8" t="n">
        <v>0.5447</v>
      </c>
      <c r="E17" s="8" t="n">
        <v>0.048</v>
      </c>
      <c r="F17" t="inlineStr">
        <is>
          <t>USD mn  OR  BIF bn</t>
        </is>
      </c>
    </row>
    <row r="18">
      <c r="A18" t="inlineStr">
        <is>
          <t>c-met</t>
        </is>
      </c>
      <c r="B18" s="2" t="inlineStr">
        <is>
          <t>Metals and metal products</t>
        </is>
      </c>
      <c r="C18" t="inlineStr">
        <is>
          <t>imports</t>
        </is>
      </c>
      <c r="D18" s="8" t="n">
        <v>9.366099999999999</v>
      </c>
      <c r="E18" s="8" t="n">
        <v>0.829</v>
      </c>
      <c r="F18" t="inlineStr">
        <is>
          <t>USD mn  OR  BIF bn</t>
        </is>
      </c>
    </row>
    <row r="19">
      <c r="A19" t="inlineStr">
        <is>
          <t>c-oman</t>
        </is>
      </c>
      <c r="B19" s="2" t="inlineStr">
        <is>
          <t>Other manufacturing</t>
        </is>
      </c>
      <c r="C19" t="inlineStr">
        <is>
          <t>exports</t>
        </is>
      </c>
      <c r="D19" s="8" t="n">
        <v>1.1943</v>
      </c>
      <c r="E19" s="8" t="n">
        <v>0.106</v>
      </c>
      <c r="F19" t="inlineStr">
        <is>
          <t>USD mn  OR  BIF bn</t>
        </is>
      </c>
    </row>
    <row r="20">
      <c r="A20" t="inlineStr">
        <is>
          <t>c-oman</t>
        </is>
      </c>
      <c r="B20" s="2" t="inlineStr">
        <is>
          <t>Other manufacturing</t>
        </is>
      </c>
      <c r="C20" t="inlineStr">
        <is>
          <t>imports</t>
        </is>
      </c>
      <c r="D20" s="8" t="n">
        <v>31.93</v>
      </c>
      <c r="E20" s="8" t="n">
        <v>2.826</v>
      </c>
      <c r="F20" t="inlineStr">
        <is>
          <t>USD mn  OR  BIF bn</t>
        </is>
      </c>
    </row>
    <row r="21">
      <c r="A21" t="inlineStr">
        <is>
          <t>c-elect</t>
        </is>
      </c>
      <c r="B21" s="2" t="inlineStr">
        <is>
          <t>Electricity</t>
        </is>
      </c>
      <c r="C21" t="inlineStr">
        <is>
          <t>imports</t>
        </is>
      </c>
      <c r="D21" s="8" t="n">
        <v>1.8555</v>
      </c>
      <c r="E21" s="8" t="n">
        <v>0.164</v>
      </c>
      <c r="F21" t="inlineStr">
        <is>
          <t>USD mn  OR  BIF bn</t>
        </is>
      </c>
    </row>
    <row r="22">
      <c r="A22" t="inlineStr">
        <is>
          <t>c-construc</t>
        </is>
      </c>
      <c r="B22" s="2" t="inlineStr">
        <is>
          <t>Construction</t>
        </is>
      </c>
      <c r="C22" t="inlineStr">
        <is>
          <t>imports</t>
        </is>
      </c>
      <c r="D22" s="8" t="n">
        <v>0.4293</v>
      </c>
      <c r="E22" s="8" t="n">
        <v>0.038</v>
      </c>
      <c r="F22" t="inlineStr">
        <is>
          <t>USD mn  OR  BIF bn</t>
        </is>
      </c>
    </row>
    <row r="23">
      <c r="A23" t="inlineStr">
        <is>
          <t>c-trade</t>
        </is>
      </c>
      <c r="B23" s="2" t="inlineStr">
        <is>
          <t>Trade (wholesale, retail)</t>
        </is>
      </c>
      <c r="C23" t="inlineStr">
        <is>
          <t>exports</t>
        </is>
      </c>
      <c r="D23" s="8" t="n">
        <v>0.0298</v>
      </c>
      <c r="E23" s="8" t="n">
        <v>0.003</v>
      </c>
      <c r="F23" t="inlineStr">
        <is>
          <t>USD mn  OR  BIF bn</t>
        </is>
      </c>
    </row>
    <row r="24">
      <c r="A24" t="inlineStr">
        <is>
          <t>c-trade</t>
        </is>
      </c>
      <c r="B24" s="2" t="inlineStr">
        <is>
          <t>Trade (wholesale, retail)</t>
        </is>
      </c>
      <c r="C24" t="inlineStr">
        <is>
          <t>imports</t>
        </is>
      </c>
      <c r="D24" s="8" t="n">
        <v>0.0056</v>
      </c>
      <c r="E24" s="8" t="n">
        <v>0</v>
      </c>
      <c r="F24" t="inlineStr">
        <is>
          <t>USD mn  OR  BIF bn</t>
        </is>
      </c>
    </row>
    <row r="25">
      <c r="A25" t="inlineStr">
        <is>
          <t>c-transp</t>
        </is>
      </c>
      <c r="B25" s="2" t="inlineStr">
        <is>
          <t>Transport and communications</t>
        </is>
      </c>
      <c r="C25" t="inlineStr">
        <is>
          <t>exports</t>
        </is>
      </c>
      <c r="D25" s="8" t="n">
        <v>1.6692</v>
      </c>
      <c r="E25" s="8" t="n">
        <v>0.148</v>
      </c>
      <c r="F25" t="inlineStr">
        <is>
          <t>USD mn  OR  BIF bn</t>
        </is>
      </c>
    </row>
    <row r="26">
      <c r="A26" t="inlineStr">
        <is>
          <t>c-transp</t>
        </is>
      </c>
      <c r="B26" s="2" t="inlineStr">
        <is>
          <t>Transport and communications</t>
        </is>
      </c>
      <c r="C26" t="inlineStr">
        <is>
          <t>imports</t>
        </is>
      </c>
      <c r="D26" s="8" t="n">
        <v>34.5348</v>
      </c>
      <c r="E26" s="8" t="n">
        <v>3.057</v>
      </c>
      <c r="F26" t="inlineStr">
        <is>
          <t>USD mn  OR  BIF bn</t>
        </is>
      </c>
    </row>
    <row r="27">
      <c r="A27" t="inlineStr">
        <is>
          <t>c-hotelrest</t>
        </is>
      </c>
      <c r="B27" s="2" t="inlineStr">
        <is>
          <t>Hotels and restaurants</t>
        </is>
      </c>
      <c r="C27" t="inlineStr">
        <is>
          <t>imports</t>
        </is>
      </c>
      <c r="D27" s="8" t="n">
        <v>1.8564</v>
      </c>
      <c r="E27" s="8" t="n">
        <v>0.164</v>
      </c>
      <c r="F27" t="inlineStr">
        <is>
          <t>USD mn  OR  BIF bn</t>
        </is>
      </c>
    </row>
    <row r="28">
      <c r="A28" t="inlineStr">
        <is>
          <t>c-oser</t>
        </is>
      </c>
      <c r="B28" s="2" t="inlineStr">
        <is>
          <t>Other services</t>
        </is>
      </c>
      <c r="C28" t="inlineStr">
        <is>
          <t>exports</t>
        </is>
      </c>
      <c r="D28" s="8" t="n">
        <v>3.8751</v>
      </c>
      <c r="E28" s="8" t="n">
        <v>0.343</v>
      </c>
      <c r="F28" t="inlineStr">
        <is>
          <t>USD mn  OR  BIF bn</t>
        </is>
      </c>
    </row>
    <row r="29">
      <c r="A29" t="inlineStr">
        <is>
          <t>c-oser</t>
        </is>
      </c>
      <c r="B29" s="2" t="inlineStr">
        <is>
          <t>Other services</t>
        </is>
      </c>
      <c r="C29" t="inlineStr">
        <is>
          <t>imports</t>
        </is>
      </c>
      <c r="D29" s="8" t="n">
        <v>8.553599999999999</v>
      </c>
      <c r="E29" s="8" t="n">
        <v>0.757</v>
      </c>
      <c r="F29" t="inlineStr">
        <is>
          <t>USD mn  OR  BIF bn</t>
        </is>
      </c>
    </row>
    <row r="31" ht="40" customHeight="1">
      <c r="A31" s="2" t="inlineStr">
        <is>
          <t>Priority C overall, except c-refpet and c-chemplast imports (the quota goods) and c-min / c-agr exports, which are B. HS-chapter or SITC data from BRB or UN Comtrade can be mapped to these 19 commodities; note the mapping used.</t>
        </is>
      </c>
    </row>
  </sheetData>
  <mergeCells count="1"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2026-09-14T16:56:36Z</dcterms:created>
  <dcterms:modified xmlns:dcterms="http://purl.org/dc/terms/" xmlns:xsi="http://www.w3.org/2001/XMLSchema-instance" xsi:type="dcterms:W3CDTF">2026-09-14T16:56:36Z</dcterms:modified>
</cp:coreProperties>
</file>