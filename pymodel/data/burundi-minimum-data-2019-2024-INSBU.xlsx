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ReadMe" sheetId="1" state="visible" r:id="rId1"/>
    <sheet xmlns:r="http://schemas.openxmlformats.org/officeDocument/2006/relationships" name="Data" sheetId="2" state="visible" r:id="rId2"/>
    <sheet xmlns:r="http://schemas.openxmlformats.org/officeDocument/2006/relationships" name="Checks" sheetId="3" state="visible" r:id="rId3"/>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6">
    <font>
      <name val="Calibri"/>
      <family val="2"/>
      <color theme="1"/>
      <sz val="11"/>
      <scheme val="minor"/>
    </font>
    <font>
      <b val="1"/>
      <sz val="13"/>
    </font>
    <font>
      <b val="1"/>
      <sz val="11"/>
    </font>
    <font>
      <b val="1"/>
    </font>
    <font>
      <i val="1"/>
    </font>
    <font>
      <i val="1"/>
      <color rgb="00666666"/>
    </font>
  </fonts>
  <fills count="5">
    <fill>
      <patternFill/>
    </fill>
    <fill>
      <patternFill patternType="gray125"/>
    </fill>
    <fill>
      <patternFill patternType="solid">
        <fgColor rgb="00FFF6D5"/>
      </patternFill>
    </fill>
    <fill>
      <patternFill patternType="solid">
        <fgColor rgb="00DCE6F1"/>
      </patternFill>
    </fill>
    <fill>
      <patternFill patternType="solid">
        <fgColor rgb="00E8E8E8"/>
      </patternFill>
    </fill>
  </fills>
  <borders count="6">
    <border>
      <left/>
      <right/>
      <top/>
      <bottom/>
      <diagonal/>
    </border>
    <border>
      <left style="thin">
        <color rgb="00BBBBBB"/>
      </left>
      <right style="thin">
        <color rgb="00BBBBBB"/>
      </right>
      <top style="thin">
        <color rgb="00BBBBBB"/>
      </top>
      <bottom style="thin">
        <color rgb="00BBBBBB"/>
      </bottom>
    </border>
    <border>
      <left/>
      <right/>
      <top style="thin">
        <color rgb="00BBBBBB"/>
      </top>
      <bottom/>
      <diagonal/>
    </border>
    <border>
      <left/>
      <right style="thin">
        <color rgb="00BBBBBB"/>
      </right>
      <top style="thin">
        <color rgb="00BBBBBB"/>
      </top>
      <bottom/>
      <diagonal/>
    </border>
    <border>
      <left/>
      <right/>
      <top style="thin">
        <color rgb="00BBBBBB"/>
      </top>
      <bottom style="thin">
        <color rgb="00BBBBBB"/>
      </bottom>
      <diagonal/>
    </border>
    <border>
      <left/>
      <right style="thin">
        <color rgb="00BBBBBB"/>
      </right>
      <top style="thin">
        <color rgb="00BBBBBB"/>
      </top>
      <bottom style="thin">
        <color rgb="00BBBBBB"/>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0" fillId="2" borderId="1" pivotButton="0" quotePrefix="0" xfId="0"/>
    <xf numFmtId="0" fontId="0" fillId="0" borderId="4" pivotButton="0" quotePrefix="0" xfId="0"/>
    <xf numFmtId="0" fontId="0" fillId="0" borderId="5" pivotButton="0" quotePrefix="0" xfId="0"/>
    <xf numFmtId="0" fontId="3" fillId="3" borderId="1" applyAlignment="1" pivotButton="0" quotePrefix="0" xfId="0">
      <alignment horizontal="center" vertical="center" wrapText="1"/>
    </xf>
    <xf numFmtId="0" fontId="0" fillId="4" borderId="1" applyAlignment="1" pivotButton="0" quotePrefix="0" xfId="0">
      <alignment vertical="top" wrapText="1"/>
    </xf>
    <xf numFmtId="164" fontId="0" fillId="2" borderId="1" pivotButton="0" quotePrefix="0" xfId="0"/>
    <xf numFmtId="0" fontId="0" fillId="2" borderId="1" applyAlignment="1" pivotButton="0" quotePrefix="0" xfId="0">
      <alignment vertical="top" wrapText="1"/>
    </xf>
    <xf numFmtId="0" fontId="4" fillId="0" borderId="0" pivotButton="0" quotePrefix="0" xfId="0"/>
    <xf numFmtId="0" fontId="3" fillId="3" borderId="1" pivotButton="0" quotePrefix="0" xfId="0"/>
    <xf numFmtId="0" fontId="0" fillId="0" borderId="1" pivotButton="0" quotePrefix="0" xfId="0"/>
    <xf numFmtId="0" fontId="5"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min="1" max="1"/>
  </cols>
  <sheetData>
    <row r="1">
      <c r="A1" s="1" t="inlineStr">
        <is>
          <t>Burundi CGE backcast: minimum data request, 2019-2024</t>
        </is>
      </c>
    </row>
    <row r="2">
      <c r="A2" s="2" t="inlineStr"/>
    </row>
    <row r="3">
      <c r="A3" s="3" t="inlineStr">
        <is>
          <t>What to fill</t>
        </is>
      </c>
    </row>
    <row r="4">
      <c r="A4" s="2" t="inlineStr">
        <is>
          <t>Sheet 'Data': the yellow cells only, one value per year. Leave a cell empty if the figure does not exist; do not estimate.</t>
        </is>
      </c>
    </row>
    <row r="5">
      <c r="A5" s="2" t="inlineStr">
        <is>
          <t>Also fill, for each row, 'Source used' (table and edition) and any note.</t>
        </is>
      </c>
    </row>
    <row r="6">
      <c r="A6" s="2" t="inlineStr">
        <is>
          <t>Fill the three cells at the top of 'Data': source, base year of constant prices, and currency unit.</t>
        </is>
      </c>
    </row>
    <row r="7">
      <c r="A7" s="2" t="inlineStr"/>
    </row>
    <row r="8">
      <c r="A8" s="3" t="inlineStr">
        <is>
          <t>Block A: national accounts (22 cells per year)</t>
        </is>
      </c>
    </row>
    <row r="9">
      <c r="A9" s="2" t="inlineStr">
        <is>
          <t>Eleven series, each at CURRENT prices and at CONSTANT prices. All rows must come from the same source and vintage, on the rebased basis.</t>
        </is>
      </c>
    </row>
    <row r="10">
      <c r="A10" s="2" t="inlineStr">
        <is>
          <t>Current prices: billions of BIF. Constant prices: billions of BIF at the prices of the base year you record at the top.</t>
        </is>
      </c>
    </row>
    <row r="11">
      <c r="A11" s="2" t="inlineStr">
        <is>
          <t>If only growth rates are published for constant prices, enter the constant-price level for the base year and the published levels or cumulated index; say which in the Notes column.</t>
        </is>
      </c>
    </row>
    <row r="12">
      <c r="A12" s="2" t="inlineStr"/>
    </row>
    <row r="13">
      <c r="A13" s="3" t="inlineStr">
        <is>
          <t>Block B: foreign exchange at the official rate (2 cells per year)</t>
        </is>
      </c>
    </row>
    <row r="14">
      <c r="A14" s="2" t="inlineStr">
        <is>
          <t>USD millions of imports paid with foreign exchange sold by BRB at the official rate, total and of which petroleum products.</t>
        </is>
      </c>
    </row>
    <row r="15">
      <c r="A15" s="2" t="inlineStr"/>
    </row>
    <row r="16">
      <c r="A16" s="3" t="inlineStr">
        <is>
          <t>Why only these</t>
        </is>
      </c>
    </row>
    <row r="17">
      <c r="A17" s="2" t="inlineStr">
        <is>
          <t>Block A settles the three data questions left open in the memo: which GDP deflator is right, why the trade-share targets cannot be matched, and the vintage gap between sector and GDP growth. Block B tests the last model-side explanation for the real-import gap.</t>
        </is>
      </c>
    </row>
    <row r="18">
      <c r="A18" s="2" t="inlineStr">
        <is>
          <t>Everything else the backcast uses is already in burundi-actuals-2019-2024-FINAL.xlsx and the MFMod datasheet.</t>
        </is>
      </c>
    </row>
    <row r="19">
      <c r="A19" s="2" t="inlineStr"/>
    </row>
    <row r="20">
      <c r="A20" s="2" t="inlineStr">
        <is>
          <t>Sheet 'Checks' computes deflators, shares and the GDP identity from what you enter. Use it to spot typos; do not edit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9"/>
  <sheetViews>
    <sheetView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20" customWidth="1" min="2" max="2"/>
    <col width="46" customWidth="1" min="3" max="3"/>
    <col width="10" customWidth="1" min="4" max="4"/>
    <col width="18" customWidth="1" min="5" max="5"/>
    <col width="11" customWidth="1" min="6" max="6"/>
    <col width="11" customWidth="1" min="7" max="7"/>
    <col width="11" customWidth="1" min="8" max="8"/>
    <col width="11" customWidth="1" min="9" max="9"/>
    <col width="11" customWidth="1" min="10" max="10"/>
    <col width="11" customWidth="1" min="11" max="11"/>
    <col width="36" customWidth="1" min="12" max="12"/>
    <col width="50" customWidth="1" min="13" max="13"/>
    <col width="30" customWidth="1" min="14" max="14"/>
    <col width="30" customWidth="1" min="15" max="15"/>
  </cols>
  <sheetData>
    <row r="1">
      <c r="A1" s="4" t="inlineStr">
        <is>
          <t>Source used for block A (publication, table, edition)</t>
        </is>
      </c>
      <c r="E1" s="5" t="inlineStr">
        <is>
          <t>INSBU (Institut National de la Statistique du Burundi): Tableaux ressources-emplois 2016-2024 at current and previous-year prices; TCEI 2021, 2023, 2024. Files in 'raw data (kodzovi)', received 2026-09-29.</t>
        </is>
      </c>
      <c r="F1" s="6" t="n"/>
      <c r="G1" s="6" t="n"/>
      <c r="H1" s="6" t="n"/>
      <c r="I1" s="6" t="n"/>
      <c r="J1" s="7" t="n"/>
    </row>
    <row r="2">
      <c r="A2" s="4" t="inlineStr">
        <is>
          <t>Base year of constant prices</t>
        </is>
      </c>
      <c r="E2" s="5" t="inlineStr">
        <is>
          <t>2019, chain-linked (INSBU constant tables are at previous-year prices)</t>
        </is>
      </c>
      <c r="F2" s="6" t="n"/>
      <c r="G2" s="6" t="n"/>
      <c r="H2" s="6" t="n"/>
      <c r="I2" s="6" t="n"/>
      <c r="J2" s="7" t="n"/>
    </row>
    <row r="3">
      <c r="A3" s="4" t="inlineStr">
        <is>
          <t>Currency unit (e.g. BIF billions)</t>
        </is>
      </c>
      <c r="E3" s="5" t="inlineStr">
        <is>
          <t>BIF billions (INSBU files are in BIF millions)</t>
        </is>
      </c>
      <c r="F3" s="6" t="n"/>
      <c r="G3" s="6" t="n"/>
      <c r="H3" s="6" t="n"/>
      <c r="I3" s="6" t="n"/>
      <c r="J3" s="7" t="n"/>
    </row>
    <row r="4"/>
    <row r="5" ht="30" customHeight="1">
      <c r="A5" s="8" t="inlineStr">
        <is>
          <t>ID</t>
        </is>
      </c>
      <c r="B5" s="8" t="inlineStr">
        <is>
          <t>Block</t>
        </is>
      </c>
      <c r="C5" s="8" t="inlineStr">
        <is>
          <t>Variable</t>
        </is>
      </c>
      <c r="D5" s="8" t="inlineStr">
        <is>
          <t>Prices</t>
        </is>
      </c>
      <c r="E5" s="8" t="inlineStr">
        <is>
          <t>Unit</t>
        </is>
      </c>
      <c r="F5" s="8" t="inlineStr">
        <is>
          <t>2019</t>
        </is>
      </c>
      <c r="G5" s="8" t="inlineStr">
        <is>
          <t>2020</t>
        </is>
      </c>
      <c r="H5" s="8" t="inlineStr">
        <is>
          <t>2021</t>
        </is>
      </c>
      <c r="I5" s="8" t="inlineStr">
        <is>
          <t>2022</t>
        </is>
      </c>
      <c r="J5" s="8" t="inlineStr">
        <is>
          <t>2023</t>
        </is>
      </c>
      <c r="K5" s="8" t="inlineStr">
        <is>
          <t>2024</t>
        </is>
      </c>
      <c r="L5" s="8" t="inlineStr">
        <is>
          <t>Ideal source</t>
        </is>
      </c>
      <c r="M5" s="8" t="inlineStr">
        <is>
          <t>Why it is needed</t>
        </is>
      </c>
      <c r="N5" s="8" t="inlineStr">
        <is>
          <t>Source used</t>
        </is>
      </c>
      <c r="O5" s="8" t="inlineStr">
        <is>
          <t>Notes</t>
        </is>
      </c>
    </row>
    <row r="6">
      <c r="A6" s="9" t="inlineStr">
        <is>
          <t>GDP_CP</t>
        </is>
      </c>
      <c r="B6" s="9" t="inlineStr">
        <is>
          <t>A. National accounts</t>
        </is>
      </c>
      <c r="C6" s="9" t="inlineStr">
        <is>
          <t>Gross domestic product, market prices</t>
        </is>
      </c>
      <c r="D6" s="9" t="inlineStr">
        <is>
          <t>current</t>
        </is>
      </c>
      <c r="E6" s="9" t="inlineStr">
        <is>
          <t>BIF billions</t>
        </is>
      </c>
      <c r="F6" s="10" t="n">
        <v>9231.9</v>
      </c>
      <c r="G6" s="10" t="n">
        <v>9941.799999999999</v>
      </c>
      <c r="H6" s="10" t="n">
        <v>10816.4</v>
      </c>
      <c r="I6" s="10" t="n">
        <v>12790</v>
      </c>
      <c r="J6" s="10" t="n">
        <v>15835.4</v>
      </c>
      <c r="K6" s="10" t="n">
        <v>20058</v>
      </c>
      <c r="L6" s="9" t="inlineStr">
        <is>
          <t>ISTEEBU rebased national accounts (the series behind the WDI rebased GDP), or IMF staff report CR 26/150 statistical tables. Use ONE source for every row in block A.</t>
        </is>
      </c>
      <c r="M6" s="9" t="inlineStr">
        <is>
          <t>Settles which nominal GDP and deflator are right: the workbook's rebased GDP deflator rises 2.06x over 2019-24, MFMod's only 1.65x.</t>
        </is>
      </c>
      <c r="N6" s="11" t="inlineStr">
        <is>
          <t>INSBU TRE, current prices (TRE COURANT yyyy.xls)</t>
        </is>
      </c>
      <c r="O6" s="11" t="n"/>
    </row>
    <row r="7">
      <c r="A7" s="9" t="inlineStr">
        <is>
          <t>GDP_KP</t>
        </is>
      </c>
      <c r="B7" s="9" t="inlineStr">
        <is>
          <t>A. National accounts</t>
        </is>
      </c>
      <c r="C7" s="9" t="inlineStr">
        <is>
          <t>Gross domestic product, market prices</t>
        </is>
      </c>
      <c r="D7" s="9" t="inlineStr">
        <is>
          <t>constant</t>
        </is>
      </c>
      <c r="E7" s="9" t="inlineStr">
        <is>
          <t>BIF billions, base-year prices</t>
        </is>
      </c>
      <c r="F7" s="10" t="n">
        <v>9231.9</v>
      </c>
      <c r="G7" s="10" t="n">
        <v>9241.799999999999</v>
      </c>
      <c r="H7" s="10" t="n">
        <v>9457.799999999999</v>
      </c>
      <c r="I7" s="10" t="n">
        <v>9580.700000000001</v>
      </c>
      <c r="J7" s="10" t="n">
        <v>9805.1</v>
      </c>
      <c r="K7" s="10" t="n">
        <v>10302.6</v>
      </c>
      <c r="L7" s="9" t="inlineStr">
        <is>
          <t>ISTEEBU rebased national accounts (the series behind the WDI rebased GDP), or IMF staff report CR 26/150 statistical tables. Use ONE source for every row in block A.</t>
        </is>
      </c>
      <c r="M7" s="9" t="inlineStr">
        <is>
          <t>Settles which nominal GDP and deflator are right: the workbook's rebased GDP deflator rises 2.06x over 2019-24, MFMod's only 1.65x.</t>
        </is>
      </c>
      <c r="N7" s="11" t="inlineStr">
        <is>
          <t>INSBU TRE, previous-year prices (TRE CONSTANT yyyy.xls), chain-linked to 2019 prices</t>
        </is>
      </c>
      <c r="O7" s="11" t="n"/>
    </row>
    <row r="8">
      <c r="A8" s="9" t="inlineStr">
        <is>
          <t>PRVC_CP</t>
        </is>
      </c>
      <c r="B8" s="9" t="inlineStr">
        <is>
          <t>A. National accounts</t>
        </is>
      </c>
      <c r="C8" s="9" t="inlineStr">
        <is>
          <t>Private final consumption</t>
        </is>
      </c>
      <c r="D8" s="9" t="inlineStr">
        <is>
          <t>current</t>
        </is>
      </c>
      <c r="E8" s="9" t="inlineStr">
        <is>
          <t>BIF billions</t>
        </is>
      </c>
      <c r="F8" s="10" t="n">
        <v>8499.1</v>
      </c>
      <c r="G8" s="10" t="n">
        <v>9047.5</v>
      </c>
      <c r="H8" s="10" t="n">
        <v>9717.200000000001</v>
      </c>
      <c r="I8" s="10" t="n">
        <v>11664.6</v>
      </c>
      <c r="J8" s="10" t="n">
        <v>14994.8</v>
      </c>
      <c r="K8" s="10" t="n">
        <v>18191.7</v>
      </c>
      <c r="L8" s="9" t="inlineStr">
        <is>
          <t>ISTEEBU rebased national accounts (the series behind the WDI rebased GDP), or IMF staff report CR 26/150 statistical tables. Use ONE source for every row in block A.</t>
        </is>
      </c>
      <c r="M8" s="9" t="inlineStr">
        <is>
          <t>Real growth is a validation target; current/constant gives its deflator.</t>
        </is>
      </c>
      <c r="N8" s="11" t="inlineStr">
        <is>
          <t>INSBU TRE, current prices (TRE COURANT yyyy.xls)</t>
        </is>
      </c>
      <c r="O8" s="11" t="inlineStr">
        <is>
          <t>Households (own-account + marketed) plus NPISH, as in most national-accounts presentations; households alone are ~97% of it.</t>
        </is>
      </c>
    </row>
    <row r="9">
      <c r="A9" s="9" t="inlineStr">
        <is>
          <t>PRVC_KP</t>
        </is>
      </c>
      <c r="B9" s="9" t="inlineStr">
        <is>
          <t>A. National accounts</t>
        </is>
      </c>
      <c r="C9" s="9" t="inlineStr">
        <is>
          <t>Private final consumption</t>
        </is>
      </c>
      <c r="D9" s="9" t="inlineStr">
        <is>
          <t>constant</t>
        </is>
      </c>
      <c r="E9" s="9" t="inlineStr">
        <is>
          <t>BIF billions, base-year prices</t>
        </is>
      </c>
      <c r="F9" s="10" t="n">
        <v>8499.1</v>
      </c>
      <c r="G9" s="10" t="n">
        <v>8396.1</v>
      </c>
      <c r="H9" s="10" t="n">
        <v>8609.700000000001</v>
      </c>
      <c r="I9" s="10" t="n">
        <v>8856.799999999999</v>
      </c>
      <c r="J9" s="10" t="n">
        <v>9427.1</v>
      </c>
      <c r="K9" s="10" t="n">
        <v>9612.9</v>
      </c>
      <c r="L9" s="9" t="inlineStr">
        <is>
          <t>ISTEEBU rebased national accounts (the series behind the WDI rebased GDP), or IMF staff report CR 26/150 statistical tables. Use ONE source for every row in block A.</t>
        </is>
      </c>
      <c r="M9" s="9" t="inlineStr">
        <is>
          <t>Real growth is a validation target; current/constant gives its deflator.</t>
        </is>
      </c>
      <c r="N9" s="11" t="inlineStr">
        <is>
          <t>INSBU TRE, previous-year prices (TRE CONSTANT yyyy.xls), chain-linked to 2019 prices</t>
        </is>
      </c>
      <c r="O9" s="11" t="inlineStr">
        <is>
          <t>Households (own-account + marketed) plus NPISH, as in most national-accounts presentations; households alone are ~97% of it.</t>
        </is>
      </c>
    </row>
    <row r="10">
      <c r="A10" s="9" t="inlineStr">
        <is>
          <t>GOVC_CP</t>
        </is>
      </c>
      <c r="B10" s="9" t="inlineStr">
        <is>
          <t>A. National accounts</t>
        </is>
      </c>
      <c r="C10" s="9" t="inlineStr">
        <is>
          <t>Government final consumption</t>
        </is>
      </c>
      <c r="D10" s="9" t="inlineStr">
        <is>
          <t>current</t>
        </is>
      </c>
      <c r="E10" s="9" t="inlineStr">
        <is>
          <t>BIF billions</t>
        </is>
      </c>
      <c r="F10" s="10" t="n">
        <v>980.3</v>
      </c>
      <c r="G10" s="10" t="n">
        <v>1044.7</v>
      </c>
      <c r="H10" s="10" t="n">
        <v>1093.8</v>
      </c>
      <c r="I10" s="10" t="n">
        <v>1225.2</v>
      </c>
      <c r="J10" s="10" t="n">
        <v>1335.2</v>
      </c>
      <c r="K10" s="10" t="n">
        <v>1503.2</v>
      </c>
      <c r="L10" s="9" t="inlineStr">
        <is>
          <t>ISTEEBU rebased national accounts (the series behind the WDI rebased GDP), or IMF staff report CR 26/150 statistical tables. Use ONE source for every row in block A.</t>
        </is>
      </c>
      <c r="M10" s="9" t="inlineStr">
        <is>
          <t>Drives the government-consumption path. The two sources in the old workbook disagree on its level and direction.</t>
        </is>
      </c>
      <c r="N10" s="11" t="inlineStr">
        <is>
          <t>INSBU TRE, current prices (TRE COURANT yyyy.xls)</t>
        </is>
      </c>
      <c r="O10" s="11" t="n"/>
    </row>
    <row r="11">
      <c r="A11" s="9" t="inlineStr">
        <is>
          <t>GOVC_KP</t>
        </is>
      </c>
      <c r="B11" s="9" t="inlineStr">
        <is>
          <t>A. National accounts</t>
        </is>
      </c>
      <c r="C11" s="9" t="inlineStr">
        <is>
          <t>Government final consumption</t>
        </is>
      </c>
      <c r="D11" s="9" t="inlineStr">
        <is>
          <t>constant</t>
        </is>
      </c>
      <c r="E11" s="9" t="inlineStr">
        <is>
          <t>BIF billions, base-year prices</t>
        </is>
      </c>
      <c r="F11" s="10" t="n">
        <v>980.3</v>
      </c>
      <c r="G11" s="10" t="n">
        <v>1003.8</v>
      </c>
      <c r="H11" s="10" t="n">
        <v>1034.9</v>
      </c>
      <c r="I11" s="10" t="n">
        <v>993.6</v>
      </c>
      <c r="J11" s="10" t="n">
        <v>1007.6</v>
      </c>
      <c r="K11" s="10" t="n">
        <v>1035.7</v>
      </c>
      <c r="L11" s="9" t="inlineStr">
        <is>
          <t>ISTEEBU rebased national accounts (the series behind the WDI rebased GDP), or IMF staff report CR 26/150 statistical tables. Use ONE source for every row in block A.</t>
        </is>
      </c>
      <c r="M11" s="9" t="inlineStr">
        <is>
          <t>Drives the government-consumption path. The two sources in the old workbook disagree on its level and direction.</t>
        </is>
      </c>
      <c r="N11" s="11" t="inlineStr">
        <is>
          <t>INSBU TRE, previous-year prices (TRE CONSTANT yyyy.xls), chain-linked to 2019 prices</t>
        </is>
      </c>
      <c r="O11" s="11" t="n"/>
    </row>
    <row r="12">
      <c r="A12" s="9" t="inlineStr">
        <is>
          <t>GFCF_CP</t>
        </is>
      </c>
      <c r="B12" s="9" t="inlineStr">
        <is>
          <t>A. National accounts</t>
        </is>
      </c>
      <c r="C12" s="9" t="inlineStr">
        <is>
          <t>Gross fixed capital formation, total</t>
        </is>
      </c>
      <c r="D12" s="9" t="inlineStr">
        <is>
          <t>current</t>
        </is>
      </c>
      <c r="E12" s="9" t="inlineStr">
        <is>
          <t>BIF billions</t>
        </is>
      </c>
      <c r="F12" s="10" t="n">
        <v>1044.7</v>
      </c>
      <c r="G12" s="10" t="n">
        <v>1050.7</v>
      </c>
      <c r="H12" s="10" t="n">
        <v>1387.3</v>
      </c>
      <c r="I12" s="10" t="n">
        <v>1534.7</v>
      </c>
      <c r="J12" s="10" t="n">
        <v>1840.9</v>
      </c>
      <c r="K12" s="10" t="n">
        <v>2429.6</v>
      </c>
      <c r="L12" s="9" t="inlineStr">
        <is>
          <t>ISTEEBU rebased national accounts (the series behind the WDI rebased GDP), or IMF staff report CR 26/150 statistical tables. Use ONE source for every row in block A.</t>
        </is>
      </c>
      <c r="M12" s="9" t="inlineStr">
        <is>
          <t>Model investment overshoots by ~2.8 pts/yr; needs a consistent real series.</t>
        </is>
      </c>
      <c r="N12" s="11" t="inlineStr">
        <is>
          <t>INSBU TRE, current prices (TRE COURANT yyyy.xls)</t>
        </is>
      </c>
      <c r="O12" s="11" t="inlineStr">
        <is>
          <t>Excludes change in inventories, which rose from 0.3% of GDP in 2019 to 2.4-4.4% in 2020-24 (TRE).</t>
        </is>
      </c>
    </row>
    <row r="13">
      <c r="A13" s="9" t="inlineStr">
        <is>
          <t>GFCF_KP</t>
        </is>
      </c>
      <c r="B13" s="9" t="inlineStr">
        <is>
          <t>A. National accounts</t>
        </is>
      </c>
      <c r="C13" s="9" t="inlineStr">
        <is>
          <t>Gross fixed capital formation, total</t>
        </is>
      </c>
      <c r="D13" s="9" t="inlineStr">
        <is>
          <t>constant</t>
        </is>
      </c>
      <c r="E13" s="9" t="inlineStr">
        <is>
          <t>BIF billions, base-year prices</t>
        </is>
      </c>
      <c r="F13" s="10" t="n">
        <v>1044.7</v>
      </c>
      <c r="G13" s="10" t="n">
        <v>995.4</v>
      </c>
      <c r="H13" s="10" t="n">
        <v>1177.8</v>
      </c>
      <c r="I13" s="10" t="n">
        <v>1195.8</v>
      </c>
      <c r="J13" s="10" t="n">
        <v>1265.9</v>
      </c>
      <c r="K13" s="10" t="n">
        <v>1292.1</v>
      </c>
      <c r="L13" s="9" t="inlineStr">
        <is>
          <t>ISTEEBU rebased national accounts (the series behind the WDI rebased GDP), or IMF staff report CR 26/150 statistical tables. Use ONE source for every row in block A.</t>
        </is>
      </c>
      <c r="M13" s="9" t="inlineStr">
        <is>
          <t>Model investment overshoots by ~2.8 pts/yr; needs a consistent real series.</t>
        </is>
      </c>
      <c r="N13" s="11" t="inlineStr">
        <is>
          <t>INSBU TRE, previous-year prices (TRE CONSTANT yyyy.xls), chain-linked to 2019 prices</t>
        </is>
      </c>
      <c r="O13" s="11" t="inlineStr">
        <is>
          <t>Excludes change in inventories, which rose from 0.3% of GDP in 2019 to 2.4-4.4% in 2020-24 (TRE).</t>
        </is>
      </c>
    </row>
    <row r="14">
      <c r="A14" s="9" t="inlineStr">
        <is>
          <t>GFCFG_CP</t>
        </is>
      </c>
      <c r="B14" s="9" t="inlineStr">
        <is>
          <t>A. National accounts</t>
        </is>
      </c>
      <c r="C14" s="9" t="inlineStr">
        <is>
          <t xml:space="preserve">  of which: public gross fixed capital formation</t>
        </is>
      </c>
      <c r="D14" s="9" t="inlineStr">
        <is>
          <t>current</t>
        </is>
      </c>
      <c r="E14" s="9" t="inlineStr">
        <is>
          <t>BIF billions</t>
        </is>
      </c>
      <c r="F14" s="10" t="n"/>
      <c r="G14" s="10" t="n"/>
      <c r="H14" s="10" t="n">
        <v>566.5</v>
      </c>
      <c r="I14" s="10" t="n"/>
      <c r="J14" s="10" t="n">
        <v>1253.3</v>
      </c>
      <c r="K14" s="10" t="n">
        <v>1730.7</v>
      </c>
      <c r="L14" s="9" t="inlineStr">
        <is>
          <t>ISTEEBU rebased national accounts (the series behind the WDI rebased GDP), or IMF staff report CR 26/150 statistical tables. Use ONE source for every row in block A.</t>
        </is>
      </c>
      <c r="M14" s="9" t="inlineStr">
        <is>
          <t>Feeds the government investment path; the old workbook's 4.0% of GDP does not match MFMod's 10.3% capital expenditure.</t>
        </is>
      </c>
      <c r="N14" s="11" t="inlineStr">
        <is>
          <t>INSBU TCEI (TCEI2021_VF, TCE_2023_BANGA_IMCSVF, TCEI2024_VF), P51 APU</t>
        </is>
      </c>
      <c r="O14" s="11" t="inlineStr">
        <is>
          <t>TCEI P51 of general government (APU). Only 2021, 2023, 2024 exist. The 2021 split between government and non-financial corporations (5.2% / 5.3% of GDP) differs sharply from 2023-24 (7.9-8.6% / 0.9-1.0%): probable reclassification, to confirm with INSBU.</t>
        </is>
      </c>
    </row>
    <row r="15">
      <c r="A15" s="9" t="inlineStr">
        <is>
          <t>GFCFG_KP</t>
        </is>
      </c>
      <c r="B15" s="9" t="inlineStr">
        <is>
          <t>A. National accounts</t>
        </is>
      </c>
      <c r="C15" s="9" t="inlineStr">
        <is>
          <t xml:space="preserve">  of which: public gross fixed capital formation</t>
        </is>
      </c>
      <c r="D15" s="9" t="inlineStr">
        <is>
          <t>constant</t>
        </is>
      </c>
      <c r="E15" s="9" t="inlineStr">
        <is>
          <t>BIF billions, base-year prices</t>
        </is>
      </c>
      <c r="F15" s="10" t="n"/>
      <c r="G15" s="10" t="n"/>
      <c r="H15" s="10" t="n"/>
      <c r="I15" s="10" t="n"/>
      <c r="J15" s="10" t="n"/>
      <c r="K15" s="10" t="n"/>
      <c r="L15" s="9" t="inlineStr">
        <is>
          <t>ISTEEBU rebased national accounts (the series behind the WDI rebased GDP), or IMF staff report CR 26/150 statistical tables. Use ONE source for every row in block A.</t>
        </is>
      </c>
      <c r="M15" s="9" t="inlineStr">
        <is>
          <t>Feeds the government investment path; the old workbook's 4.0% of GDP does not match MFMod's 10.3% capital expenditure.</t>
        </is>
      </c>
      <c r="N15" s="11" t="n"/>
      <c r="O15" s="11" t="inlineStr">
        <is>
          <t>No volume series in the INSBU files.</t>
        </is>
      </c>
    </row>
    <row r="16">
      <c r="A16" s="9" t="inlineStr">
        <is>
          <t>EXP_CP</t>
        </is>
      </c>
      <c r="B16" s="9" t="inlineStr">
        <is>
          <t>A. National accounts</t>
        </is>
      </c>
      <c r="C16" s="9" t="inlineStr">
        <is>
          <t>Exports of goods and services</t>
        </is>
      </c>
      <c r="D16" s="9" t="inlineStr">
        <is>
          <t>current</t>
        </is>
      </c>
      <c r="E16" s="9" t="inlineStr">
        <is>
          <t>BIF billions</t>
        </is>
      </c>
      <c r="F16" s="10" t="n">
        <v>552.1</v>
      </c>
      <c r="G16" s="10" t="n">
        <v>519.8</v>
      </c>
      <c r="H16" s="10" t="n">
        <v>598.2</v>
      </c>
      <c r="I16" s="10" t="n">
        <v>672.8</v>
      </c>
      <c r="J16" s="10" t="n">
        <v>973.6</v>
      </c>
      <c r="K16" s="10" t="n">
        <v>1002.4</v>
      </c>
      <c r="L16" s="9" t="inlineStr">
        <is>
          <t>ISTEEBU rebased national accounts (the series behind the WDI rebased GDP), or IMF staff report CR 26/150 statistical tables. Use ONE source for every row in block A.</t>
        </is>
      </c>
      <c r="M16" s="9" t="inlineStr">
        <is>
          <t>Real exports are pinned; current/constant gives the realised export price.</t>
        </is>
      </c>
      <c r="N16" s="11" t="inlineStr">
        <is>
          <t>INSBU TRE, current prices (TRE COURANT yyyy.xls)</t>
        </is>
      </c>
      <c r="O16" s="11" t="n"/>
    </row>
    <row r="17">
      <c r="A17" s="9" t="inlineStr">
        <is>
          <t>EXP_KP</t>
        </is>
      </c>
      <c r="B17" s="9" t="inlineStr">
        <is>
          <t>A. National accounts</t>
        </is>
      </c>
      <c r="C17" s="9" t="inlineStr">
        <is>
          <t>Exports of goods and services</t>
        </is>
      </c>
      <c r="D17" s="9" t="inlineStr">
        <is>
          <t>constant</t>
        </is>
      </c>
      <c r="E17" s="9" t="inlineStr">
        <is>
          <t>BIF billions, base-year prices</t>
        </is>
      </c>
      <c r="F17" s="10" t="n">
        <v>552.1</v>
      </c>
      <c r="G17" s="10" t="n">
        <v>522.1</v>
      </c>
      <c r="H17" s="10" t="n">
        <v>518.8</v>
      </c>
      <c r="I17" s="10" t="n">
        <v>469.5</v>
      </c>
      <c r="J17" s="10" t="n">
        <v>524.3</v>
      </c>
      <c r="K17" s="10" t="n">
        <v>512.2</v>
      </c>
      <c r="L17" s="9" t="inlineStr">
        <is>
          <t>ISTEEBU rebased national accounts (the series behind the WDI rebased GDP), or IMF staff report CR 26/150 statistical tables. Use ONE source for every row in block A.</t>
        </is>
      </c>
      <c r="M17" s="9" t="inlineStr">
        <is>
          <t>Real exports are pinned; current/constant gives the realised export price.</t>
        </is>
      </c>
      <c r="N17" s="11" t="inlineStr">
        <is>
          <t>INSBU TRE, previous-year prices (TRE CONSTANT yyyy.xls), chain-linked to 2019 prices</t>
        </is>
      </c>
      <c r="O17" s="11" t="n"/>
    </row>
    <row r="18">
      <c r="A18" s="9" t="inlineStr">
        <is>
          <t>IMP_CP</t>
        </is>
      </c>
      <c r="B18" s="9" t="inlineStr">
        <is>
          <t>A. National accounts</t>
        </is>
      </c>
      <c r="C18" s="9" t="inlineStr">
        <is>
          <t>Imports of goods and services</t>
        </is>
      </c>
      <c r="D18" s="9" t="inlineStr">
        <is>
          <t>current</t>
        </is>
      </c>
      <c r="E18" s="9" t="inlineStr">
        <is>
          <t>BIF billions</t>
        </is>
      </c>
      <c r="F18" s="10" t="n">
        <v>1874.5</v>
      </c>
      <c r="G18" s="10" t="n">
        <v>1964.7</v>
      </c>
      <c r="H18" s="10" t="n">
        <v>2304.5</v>
      </c>
      <c r="I18" s="10" t="n">
        <v>2870.4</v>
      </c>
      <c r="J18" s="10" t="n">
        <v>3688.7</v>
      </c>
      <c r="K18" s="10" t="n">
        <v>3837.9</v>
      </c>
      <c r="L18" s="9" t="inlineStr">
        <is>
          <t>ISTEEBU rebased national accounts (the series behind the WDI rebased GDP), or IMF staff report CR 26/150 statistical tables. Use ONE source for every row in block A.</t>
        </is>
      </c>
      <c r="M18" s="9" t="inlineStr">
        <is>
          <t>Main remaining gap. Current/constant gives the realised import price and a trade share consistent with the GDP above.</t>
        </is>
      </c>
      <c r="N18" s="11" t="inlineStr">
        <is>
          <t>INSBU TRE, current prices (TRE COURANT yyyy.xls)</t>
        </is>
      </c>
      <c r="O18" s="11" t="n"/>
    </row>
    <row r="19">
      <c r="A19" s="9" t="inlineStr">
        <is>
          <t>IMP_KP</t>
        </is>
      </c>
      <c r="B19" s="9" t="inlineStr">
        <is>
          <t>A. National accounts</t>
        </is>
      </c>
      <c r="C19" s="9" t="inlineStr">
        <is>
          <t>Imports of goods and services</t>
        </is>
      </c>
      <c r="D19" s="9" t="inlineStr">
        <is>
          <t>constant</t>
        </is>
      </c>
      <c r="E19" s="9" t="inlineStr">
        <is>
          <t>BIF billions, base-year prices</t>
        </is>
      </c>
      <c r="F19" s="10" t="n">
        <v>1874.5</v>
      </c>
      <c r="G19" s="10" t="n">
        <v>1899.6</v>
      </c>
      <c r="H19" s="10" t="n">
        <v>2158.4</v>
      </c>
      <c r="I19" s="10" t="n">
        <v>2356.3</v>
      </c>
      <c r="J19" s="10" t="n">
        <v>2685.1</v>
      </c>
      <c r="K19" s="10" t="n">
        <v>2413.3</v>
      </c>
      <c r="L19" s="9" t="inlineStr">
        <is>
          <t>ISTEEBU rebased national accounts (the series behind the WDI rebased GDP), or IMF staff report CR 26/150 statistical tables. Use ONE source for every row in block A.</t>
        </is>
      </c>
      <c r="M19" s="9" t="inlineStr">
        <is>
          <t>Main remaining gap. Current/constant gives the realised import price and a trade share consistent with the GDP above.</t>
        </is>
      </c>
      <c r="N19" s="11" t="inlineStr">
        <is>
          <t>INSBU TRE, previous-year prices (TRE CONSTANT yyyy.xls), chain-linked to 2019 prices</t>
        </is>
      </c>
      <c r="O19" s="11" t="n"/>
    </row>
    <row r="20">
      <c r="A20" s="9" t="inlineStr">
        <is>
          <t>VAAGR_CP</t>
        </is>
      </c>
      <c r="B20" s="9" t="inlineStr">
        <is>
          <t>A. National accounts</t>
        </is>
      </c>
      <c r="C20" s="9" t="inlineStr">
        <is>
          <t>Value added: agriculture, forestry, fishing (ISIC A)</t>
        </is>
      </c>
      <c r="D20" s="9" t="inlineStr">
        <is>
          <t>current</t>
        </is>
      </c>
      <c r="E20" s="9" t="inlineStr">
        <is>
          <t>BIF billions</t>
        </is>
      </c>
      <c r="F20" s="10" t="n">
        <v>3459.6</v>
      </c>
      <c r="G20" s="10" t="n">
        <v>3984.6</v>
      </c>
      <c r="H20" s="10" t="n">
        <v>4233.7</v>
      </c>
      <c r="I20" s="10" t="n">
        <v>5250.9</v>
      </c>
      <c r="J20" s="10" t="n">
        <v>6828.6</v>
      </c>
      <c r="K20" s="10" t="n">
        <v>8113.8</v>
      </c>
      <c r="L20" s="9" t="inlineStr">
        <is>
          <t>ISTEEBU rebased national accounts (the series behind the WDI rebased GDP), or IMF staff report CR 26/150 statistical tables. Use ONE source for every row in block A.</t>
        </is>
      </c>
      <c r="M20" s="9" t="inlineStr">
        <is>
          <t>Sector growth target; must be on the same basis as GDP.</t>
        </is>
      </c>
      <c r="N20" s="11" t="inlineStr">
        <is>
          <t>INSBU TRE, current prices (TRE COURANT yyyy.xls)</t>
        </is>
      </c>
      <c r="O20" s="11" t="n"/>
    </row>
    <row r="21">
      <c r="A21" s="9" t="inlineStr">
        <is>
          <t>VAAGR_KP</t>
        </is>
      </c>
      <c r="B21" s="9" t="inlineStr">
        <is>
          <t>A. National accounts</t>
        </is>
      </c>
      <c r="C21" s="9" t="inlineStr">
        <is>
          <t>Value added: agriculture, forestry, fishing (ISIC A)</t>
        </is>
      </c>
      <c r="D21" s="9" t="inlineStr">
        <is>
          <t>constant</t>
        </is>
      </c>
      <c r="E21" s="9" t="inlineStr">
        <is>
          <t>BIF billions, base-year prices</t>
        </is>
      </c>
      <c r="F21" s="10" t="n">
        <v>3459.6</v>
      </c>
      <c r="G21" s="10" t="n">
        <v>3556.6</v>
      </c>
      <c r="H21" s="10" t="n">
        <v>3517.1</v>
      </c>
      <c r="I21" s="10" t="n">
        <v>3600</v>
      </c>
      <c r="J21" s="10" t="n">
        <v>3483.9</v>
      </c>
      <c r="K21" s="10" t="n">
        <v>3641.8</v>
      </c>
      <c r="L21" s="9" t="inlineStr">
        <is>
          <t>ISTEEBU rebased national accounts (the series behind the WDI rebased GDP), or IMF staff report CR 26/150 statistical tables. Use ONE source for every row in block A.</t>
        </is>
      </c>
      <c r="M21" s="9" t="inlineStr">
        <is>
          <t>Sector growth target; must be on the same basis as GDP.</t>
        </is>
      </c>
      <c r="N21" s="11" t="inlineStr">
        <is>
          <t>INSBU TRE, previous-year prices (TRE CONSTANT yyyy.xls), chain-linked to 2019 prices</t>
        </is>
      </c>
      <c r="O21" s="11" t="n"/>
    </row>
    <row r="22">
      <c r="A22" s="9" t="inlineStr">
        <is>
          <t>VAIND_CP</t>
        </is>
      </c>
      <c r="B22" s="9" t="inlineStr">
        <is>
          <t>A. National accounts</t>
        </is>
      </c>
      <c r="C22" s="9" t="inlineStr">
        <is>
          <t>Value added: industry (ISIC B-F)</t>
        </is>
      </c>
      <c r="D22" s="9" t="inlineStr">
        <is>
          <t>current</t>
        </is>
      </c>
      <c r="E22" s="9" t="inlineStr">
        <is>
          <t>BIF billions</t>
        </is>
      </c>
      <c r="F22" s="10" t="n">
        <v>1392.5</v>
      </c>
      <c r="G22" s="10" t="n">
        <v>1417.7</v>
      </c>
      <c r="H22" s="10" t="n">
        <v>1641</v>
      </c>
      <c r="I22" s="10" t="n">
        <v>1880.2</v>
      </c>
      <c r="J22" s="10" t="n">
        <v>2279.6</v>
      </c>
      <c r="K22" s="10" t="n">
        <v>3287.1</v>
      </c>
      <c r="L22" s="9" t="inlineStr">
        <is>
          <t>ISTEEBU rebased national accounts (the series behind the WDI rebased GDP), or IMF staff report CR 26/150 statistical tables. Use ONE source for every row in block A.</t>
        </is>
      </c>
      <c r="M22" s="9" t="inlineStr">
        <is>
          <t>Sector growth target.</t>
        </is>
      </c>
      <c r="N22" s="11" t="inlineStr">
        <is>
          <t>INSBU TRE, current prices (TRE COURANT yyyy.xls)</t>
        </is>
      </c>
      <c r="O22" s="11" t="inlineStr">
        <is>
          <t>ISIC B-F: extraction, manufacturing, electricity, water, construction.</t>
        </is>
      </c>
    </row>
    <row r="23">
      <c r="A23" s="9" t="inlineStr">
        <is>
          <t>VAIND_KP</t>
        </is>
      </c>
      <c r="B23" s="9" t="inlineStr">
        <is>
          <t>A. National accounts</t>
        </is>
      </c>
      <c r="C23" s="9" t="inlineStr">
        <is>
          <t>Value added: industry (ISIC B-F)</t>
        </is>
      </c>
      <c r="D23" s="9" t="inlineStr">
        <is>
          <t>constant</t>
        </is>
      </c>
      <c r="E23" s="9" t="inlineStr">
        <is>
          <t>BIF billions, base-year prices</t>
        </is>
      </c>
      <c r="F23" s="10" t="n">
        <v>1392.5</v>
      </c>
      <c r="G23" s="10" t="n">
        <v>1357.6</v>
      </c>
      <c r="H23" s="10" t="n">
        <v>1423.7</v>
      </c>
      <c r="I23" s="10" t="n">
        <v>1452.3</v>
      </c>
      <c r="J23" s="10" t="n">
        <v>1477.4</v>
      </c>
      <c r="K23" s="10" t="n">
        <v>1548</v>
      </c>
      <c r="L23" s="9" t="inlineStr">
        <is>
          <t>ISTEEBU rebased national accounts (the series behind the WDI rebased GDP), or IMF staff report CR 26/150 statistical tables. Use ONE source for every row in block A.</t>
        </is>
      </c>
      <c r="M23" s="9" t="inlineStr">
        <is>
          <t>Sector growth target.</t>
        </is>
      </c>
      <c r="N23" s="11" t="inlineStr">
        <is>
          <t>INSBU TRE, previous-year prices (TRE CONSTANT yyyy.xls), chain-linked to 2019 prices</t>
        </is>
      </c>
      <c r="O23" s="11" t="inlineStr">
        <is>
          <t>ISIC B-F: extraction, manufacturing, electricity, water, construction.</t>
        </is>
      </c>
    </row>
    <row r="24">
      <c r="A24" s="9" t="inlineStr">
        <is>
          <t>VAMAN_CP</t>
        </is>
      </c>
      <c r="B24" s="9" t="inlineStr">
        <is>
          <t>A. National accounts</t>
        </is>
      </c>
      <c r="C24" s="9" t="inlineStr">
        <is>
          <t xml:space="preserve">  of which: manufacturing (ISIC C)</t>
        </is>
      </c>
      <c r="D24" s="9" t="inlineStr">
        <is>
          <t>current</t>
        </is>
      </c>
      <c r="E24" s="9" t="inlineStr">
        <is>
          <t>BIF billions</t>
        </is>
      </c>
      <c r="F24" s="10" t="n">
        <v>953.5</v>
      </c>
      <c r="G24" s="10" t="n">
        <v>1014.8</v>
      </c>
      <c r="H24" s="10" t="n">
        <v>1089.8</v>
      </c>
      <c r="I24" s="10" t="n">
        <v>1293.4</v>
      </c>
      <c r="J24" s="10" t="n">
        <v>1561.5</v>
      </c>
      <c r="K24" s="10" t="n">
        <v>1826.5</v>
      </c>
      <c r="L24" s="9" t="inlineStr">
        <is>
          <t>ISTEEBU rebased national accounts (the series behind the WDI rebased GDP), or IMF staff report CR 26/150 statistical tables. Use ONE source for every row in block A.</t>
        </is>
      </c>
      <c r="M24" s="9" t="inlineStr">
        <is>
          <t>Separates factory supply shocks from mining and construction.</t>
        </is>
      </c>
      <c r="N24" s="11" t="inlineStr">
        <is>
          <t>INSBU TRE, current prices (TRE COURANT yyyy.xls)</t>
        </is>
      </c>
      <c r="O24" s="11" t="n"/>
    </row>
    <row r="25">
      <c r="A25" s="9" t="inlineStr">
        <is>
          <t>VAMAN_KP</t>
        </is>
      </c>
      <c r="B25" s="9" t="inlineStr">
        <is>
          <t>A. National accounts</t>
        </is>
      </c>
      <c r="C25" s="9" t="inlineStr">
        <is>
          <t xml:space="preserve">  of which: manufacturing (ISIC C)</t>
        </is>
      </c>
      <c r="D25" s="9" t="inlineStr">
        <is>
          <t>constant</t>
        </is>
      </c>
      <c r="E25" s="9" t="inlineStr">
        <is>
          <t>BIF billions, base-year prices</t>
        </is>
      </c>
      <c r="F25" s="10" t="n">
        <v>953.5</v>
      </c>
      <c r="G25" s="10" t="n">
        <v>957.5</v>
      </c>
      <c r="H25" s="10" t="n">
        <v>991.7</v>
      </c>
      <c r="I25" s="10" t="n">
        <v>1001.7</v>
      </c>
      <c r="J25" s="10" t="n">
        <v>1069.2</v>
      </c>
      <c r="K25" s="10" t="n">
        <v>994.7</v>
      </c>
      <c r="L25" s="9" t="inlineStr">
        <is>
          <t>ISTEEBU rebased national accounts (the series behind the WDI rebased GDP), or IMF staff report CR 26/150 statistical tables. Use ONE source for every row in block A.</t>
        </is>
      </c>
      <c r="M25" s="9" t="inlineStr">
        <is>
          <t>Separates factory supply shocks from mining and construction.</t>
        </is>
      </c>
      <c r="N25" s="11" t="inlineStr">
        <is>
          <t>INSBU TRE, previous-year prices (TRE CONSTANT yyyy.xls), chain-linked to 2019 prices</t>
        </is>
      </c>
      <c r="O25" s="11" t="n"/>
    </row>
    <row r="26">
      <c r="A26" s="9" t="inlineStr">
        <is>
          <t>VASRV_CP</t>
        </is>
      </c>
      <c r="B26" s="9" t="inlineStr">
        <is>
          <t>A. National accounts</t>
        </is>
      </c>
      <c r="C26" s="9" t="inlineStr">
        <is>
          <t>Value added: services (ISIC G-U)</t>
        </is>
      </c>
      <c r="D26" s="9" t="inlineStr">
        <is>
          <t>current</t>
        </is>
      </c>
      <c r="E26" s="9" t="inlineStr">
        <is>
          <t>BIF billions</t>
        </is>
      </c>
      <c r="F26" s="10" t="n">
        <v>3740</v>
      </c>
      <c r="G26" s="10" t="n">
        <v>3866.3</v>
      </c>
      <c r="H26" s="10" t="n">
        <v>4162.9</v>
      </c>
      <c r="I26" s="10" t="n">
        <v>4765.4</v>
      </c>
      <c r="J26" s="10" t="n">
        <v>5632</v>
      </c>
      <c r="K26" s="10" t="n">
        <v>7328.3</v>
      </c>
      <c r="L26" s="9" t="inlineStr">
        <is>
          <t>ISTEEBU rebased national accounts (the series behind the WDI rebased GDP), or IMF staff report CR 26/150 statistical tables. Use ONE source for every row in block A.</t>
        </is>
      </c>
      <c r="M26" s="9" t="inlineStr">
        <is>
          <t>Sector growth target.</t>
        </is>
      </c>
      <c r="N26" s="11" t="inlineStr">
        <is>
          <t>INSBU TRE, current prices (TRE COURANT yyyy.xls)</t>
        </is>
      </c>
      <c r="O26" s="11" t="inlineStr">
        <is>
          <t>ISIC G-U, including U32 'Correction territoriale' (1.5% of VA in 2019).</t>
        </is>
      </c>
    </row>
    <row r="27">
      <c r="A27" s="9" t="inlineStr">
        <is>
          <t>VASRV_KP</t>
        </is>
      </c>
      <c r="B27" s="9" t="inlineStr">
        <is>
          <t>A. National accounts</t>
        </is>
      </c>
      <c r="C27" s="9" t="inlineStr">
        <is>
          <t>Value added: services (ISIC G-U)</t>
        </is>
      </c>
      <c r="D27" s="9" t="inlineStr">
        <is>
          <t>constant</t>
        </is>
      </c>
      <c r="E27" s="9" t="inlineStr">
        <is>
          <t>BIF billions, base-year prices</t>
        </is>
      </c>
      <c r="F27" s="10" t="n">
        <v>3740</v>
      </c>
      <c r="G27" s="10" t="n">
        <v>3669.8</v>
      </c>
      <c r="H27" s="10" t="n">
        <v>3793.4</v>
      </c>
      <c r="I27" s="10" t="n">
        <v>3794.6</v>
      </c>
      <c r="J27" s="10" t="n">
        <v>4075.4</v>
      </c>
      <c r="K27" s="10" t="n">
        <v>4264.1</v>
      </c>
      <c r="L27" s="9" t="inlineStr">
        <is>
          <t>ISTEEBU rebased national accounts (the series behind the WDI rebased GDP), or IMF staff report CR 26/150 statistical tables. Use ONE source for every row in block A.</t>
        </is>
      </c>
      <c r="M27" s="9" t="inlineStr">
        <is>
          <t>Sector growth target.</t>
        </is>
      </c>
      <c r="N27" s="11" t="inlineStr">
        <is>
          <t>INSBU TRE, previous-year prices (TRE CONSTANT yyyy.xls), chain-linked to 2019 prices</t>
        </is>
      </c>
      <c r="O27" s="11" t="inlineStr">
        <is>
          <t>ISIC G-U, including U32 'Correction territoriale' (1.5% of VA in 2019).</t>
        </is>
      </c>
    </row>
    <row r="28">
      <c r="A28" s="9" t="inlineStr">
        <is>
          <t>FXOFF</t>
        </is>
      </c>
      <c r="B28" s="9" t="inlineStr">
        <is>
          <t>B. FX at official rate</t>
        </is>
      </c>
      <c r="C28" s="9" t="inlineStr">
        <is>
          <t>Imports paid with FX sold at the OFFICIAL rate (BRB allocations), total</t>
        </is>
      </c>
      <c r="D28" s="9" t="inlineStr">
        <is>
          <t>-</t>
        </is>
      </c>
      <c r="E28" s="9" t="inlineStr">
        <is>
          <t>USD millions</t>
        </is>
      </c>
      <c r="F28" s="10" t="n"/>
      <c r="G28" s="10" t="n"/>
      <c r="H28" s="10" t="n"/>
      <c r="I28" s="10" t="n"/>
      <c r="J28" s="10" t="n"/>
      <c r="K28" s="10" t="n"/>
      <c r="L28" s="9" t="inlineStr">
        <is>
          <t>BRB (annual report / balance-of-payments or FX allocation statistics), or IMF staff report CR 23/270 and CR 26/150.</t>
        </is>
      </c>
      <c r="M28" s="9" t="inlineStr">
        <is>
          <t>The model assumes only fuel and chemicals are paid at the official rate, fixed at 2019 shares. The IMF says access changed after 2022.</t>
        </is>
      </c>
      <c r="N28" s="11" t="n"/>
      <c r="O28" s="11" t="inlineStr">
        <is>
          <t>Not in the INSBU files: needs BRB data.</t>
        </is>
      </c>
    </row>
    <row r="29">
      <c r="A29" s="9" t="inlineStr">
        <is>
          <t>FXOFFF</t>
        </is>
      </c>
      <c r="B29" s="9" t="inlineStr">
        <is>
          <t>B. FX at official rate</t>
        </is>
      </c>
      <c r="C29" s="9" t="inlineStr">
        <is>
          <t xml:space="preserve">  of which: petroleum products</t>
        </is>
      </c>
      <c r="D29" s="9" t="inlineStr">
        <is>
          <t>-</t>
        </is>
      </c>
      <c r="E29" s="9" t="inlineStr">
        <is>
          <t>USD millions</t>
        </is>
      </c>
      <c r="F29" s="10" t="n"/>
      <c r="G29" s="10" t="n"/>
      <c r="H29" s="10" t="n"/>
      <c r="I29" s="10" t="n"/>
      <c r="J29" s="10" t="n"/>
      <c r="K29" s="10" t="n"/>
      <c r="L29" s="9" t="inlineStr">
        <is>
          <t>BRB (annual report / balance-of-payments or FX allocation statistics), or IMF staff report CR 23/270 and CR 26/150.</t>
        </is>
      </c>
      <c r="M29" s="9" t="inlineStr">
        <is>
          <t>Splits fuel from other official-rate imports.</t>
        </is>
      </c>
      <c r="N29" s="11" t="n"/>
      <c r="O29" s="11" t="inlineStr">
        <is>
          <t>Not in the INSBU files: needs BRB data.</t>
        </is>
      </c>
    </row>
  </sheetData>
  <mergeCells count="6">
    <mergeCell ref="A1:D1"/>
    <mergeCell ref="E1:J1"/>
    <mergeCell ref="E2:J2"/>
    <mergeCell ref="A3:D3"/>
    <mergeCell ref="A2:D2"/>
    <mergeCell ref="E3:J3"/>
  </mergeCells>
  <dataValidations count="1">
    <dataValidation sqref="F6 F7 F8 F9 F10 F11 F12 F13 F14 F15 F16 F17 F18 F19 F20 F21 F22 F23 F24 F25 F26 F27 F28 F29 G6 G7 G8 G9 G10 G11 G12 G13 G14 G15 G16 G17 G18 G19 G20 G21 G22 G23 G24 G25 G26 G27 G28 G29 H6 H7 H8 H9 H10 H11 H12 H13 H14 H15 H16 H17 H18 H19 H20 H21 H22 H23 H24 H25 H26 H27 H28 H29 I6 I7 I8 I9 I10 I11 I12 I13 I14 I15 I16 I17 I18 I19 I20 I21 I22 I23 I24 I25 I26 I27 I28 I29 J6 J7 J8 J9 J10 J11 J12 J13 J14 J15 J16 J17 J18 J19 J20 J21 J22 J23 J24 J25 J26 J27 J28 J29 K6 K7 K8 K9 K10 K11 K12 K13 K14 K15 K16 K17 K18 K19 K20 K21 K22 K23 K24 K25 K26 K27 K28 K29" showDropDown="0" showInputMessage="0" showErrorMessage="1" allowBlank="1" errorTitle="Number expected" error="Enter a number, or leave the cell empty." type="decimal" operator="between">
      <formula1>-1000000000</formula1>
      <formula2>1000000000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0"/>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48" customWidth="1" min="2" max="2"/>
    <col width="10" customWidth="1" min="3" max="3"/>
    <col width="10" customWidth="1" min="4" max="4"/>
    <col width="10" customWidth="1" min="5" max="5"/>
    <col width="10" customWidth="1" min="6" max="6"/>
    <col width="10" customWidth="1" min="7" max="7"/>
    <col width="10" customWidth="1" min="8" max="8"/>
  </cols>
  <sheetData>
    <row r="1">
      <c r="A1" s="12" t="inlineStr">
        <is>
          <t>Computed from sheet 'Data'. Do not edit. Blank until the inputs are filled.</t>
        </is>
      </c>
    </row>
    <row r="3">
      <c r="A3" s="13" t="inlineStr">
        <is>
          <t>Check</t>
        </is>
      </c>
      <c r="B3" s="13" t="inlineStr">
        <is>
          <t>Formula</t>
        </is>
      </c>
      <c r="C3" s="13" t="inlineStr">
        <is>
          <t>2019</t>
        </is>
      </c>
      <c r="D3" s="13" t="inlineStr">
        <is>
          <t>2020</t>
        </is>
      </c>
      <c r="E3" s="13" t="inlineStr">
        <is>
          <t>2021</t>
        </is>
      </c>
      <c r="F3" s="13" t="inlineStr">
        <is>
          <t>2022</t>
        </is>
      </c>
      <c r="G3" s="13" t="inlineStr">
        <is>
          <t>2023</t>
        </is>
      </c>
      <c r="H3" s="13" t="inlineStr">
        <is>
          <t>2024</t>
        </is>
      </c>
    </row>
    <row r="4">
      <c r="A4" s="14" t="inlineStr">
        <is>
          <t>Deflator, GDP (base year = 100)</t>
        </is>
      </c>
      <c r="B4" s="15" t="inlineStr">
        <is>
          <t>100 x current / constant</t>
        </is>
      </c>
      <c r="C4" s="16">
        <f>IF(AND(ISNUMBER(Data!F6),ISNUMBER(Data!F7)),100*Data!F6/Data!F7,"")</f>
        <v/>
      </c>
      <c r="D4" s="16">
        <f>IF(AND(ISNUMBER(Data!G6),ISNUMBER(Data!G7)),100*Data!G6/Data!G7,"")</f>
        <v/>
      </c>
      <c r="E4" s="16">
        <f>IF(AND(ISNUMBER(Data!H6),ISNUMBER(Data!H7)),100*Data!H6/Data!H7,"")</f>
        <v/>
      </c>
      <c r="F4" s="16">
        <f>IF(AND(ISNUMBER(Data!I6),ISNUMBER(Data!I7)),100*Data!I6/Data!I7,"")</f>
        <v/>
      </c>
      <c r="G4" s="16">
        <f>IF(AND(ISNUMBER(Data!J6),ISNUMBER(Data!J7)),100*Data!J6/Data!J7,"")</f>
        <v/>
      </c>
      <c r="H4" s="16">
        <f>IF(AND(ISNUMBER(Data!K6),ISNUMBER(Data!K7)),100*Data!K6/Data!K7,"")</f>
        <v/>
      </c>
    </row>
    <row r="5">
      <c r="A5" s="14" t="inlineStr">
        <is>
          <t>Deflator, private consumption (base year = 100)</t>
        </is>
      </c>
      <c r="B5" s="15" t="inlineStr">
        <is>
          <t>100 x current / constant</t>
        </is>
      </c>
      <c r="C5" s="16">
        <f>IF(AND(ISNUMBER(Data!F8),ISNUMBER(Data!F9)),100*Data!F8/Data!F9,"")</f>
        <v/>
      </c>
      <c r="D5" s="16">
        <f>IF(AND(ISNUMBER(Data!G8),ISNUMBER(Data!G9)),100*Data!G8/Data!G9,"")</f>
        <v/>
      </c>
      <c r="E5" s="16">
        <f>IF(AND(ISNUMBER(Data!H8),ISNUMBER(Data!H9)),100*Data!H8/Data!H9,"")</f>
        <v/>
      </c>
      <c r="F5" s="16">
        <f>IF(AND(ISNUMBER(Data!I8),ISNUMBER(Data!I9)),100*Data!I8/Data!I9,"")</f>
        <v/>
      </c>
      <c r="G5" s="16">
        <f>IF(AND(ISNUMBER(Data!J8),ISNUMBER(Data!J9)),100*Data!J8/Data!J9,"")</f>
        <v/>
      </c>
      <c r="H5" s="16">
        <f>IF(AND(ISNUMBER(Data!K8),ISNUMBER(Data!K9)),100*Data!K8/Data!K9,"")</f>
        <v/>
      </c>
    </row>
    <row r="6">
      <c r="A6" s="14" t="inlineStr">
        <is>
          <t>Deflator, government consumption (base year = 100)</t>
        </is>
      </c>
      <c r="B6" s="15" t="inlineStr">
        <is>
          <t>100 x current / constant</t>
        </is>
      </c>
      <c r="C6" s="16">
        <f>IF(AND(ISNUMBER(Data!F10),ISNUMBER(Data!F11)),100*Data!F10/Data!F11,"")</f>
        <v/>
      </c>
      <c r="D6" s="16">
        <f>IF(AND(ISNUMBER(Data!G10),ISNUMBER(Data!G11)),100*Data!G10/Data!G11,"")</f>
        <v/>
      </c>
      <c r="E6" s="16">
        <f>IF(AND(ISNUMBER(Data!H10),ISNUMBER(Data!H11)),100*Data!H10/Data!H11,"")</f>
        <v/>
      </c>
      <c r="F6" s="16">
        <f>IF(AND(ISNUMBER(Data!I10),ISNUMBER(Data!I11)),100*Data!I10/Data!I11,"")</f>
        <v/>
      </c>
      <c r="G6" s="16">
        <f>IF(AND(ISNUMBER(Data!J10),ISNUMBER(Data!J11)),100*Data!J10/Data!J11,"")</f>
        <v/>
      </c>
      <c r="H6" s="16">
        <f>IF(AND(ISNUMBER(Data!K10),ISNUMBER(Data!K11)),100*Data!K10/Data!K11,"")</f>
        <v/>
      </c>
    </row>
    <row r="7">
      <c r="A7" s="14" t="inlineStr">
        <is>
          <t>Deflator, GFCF (base year = 100)</t>
        </is>
      </c>
      <c r="B7" s="15" t="inlineStr">
        <is>
          <t>100 x current / constant</t>
        </is>
      </c>
      <c r="C7" s="16">
        <f>IF(AND(ISNUMBER(Data!F12),ISNUMBER(Data!F13)),100*Data!F12/Data!F13,"")</f>
        <v/>
      </c>
      <c r="D7" s="16">
        <f>IF(AND(ISNUMBER(Data!G12),ISNUMBER(Data!G13)),100*Data!G12/Data!G13,"")</f>
        <v/>
      </c>
      <c r="E7" s="16">
        <f>IF(AND(ISNUMBER(Data!H12),ISNUMBER(Data!H13)),100*Data!H12/Data!H13,"")</f>
        <v/>
      </c>
      <c r="F7" s="16">
        <f>IF(AND(ISNUMBER(Data!I12),ISNUMBER(Data!I13)),100*Data!I12/Data!I13,"")</f>
        <v/>
      </c>
      <c r="G7" s="16">
        <f>IF(AND(ISNUMBER(Data!J12),ISNUMBER(Data!J13)),100*Data!J12/Data!J13,"")</f>
        <v/>
      </c>
      <c r="H7" s="16">
        <f>IF(AND(ISNUMBER(Data!K12),ISNUMBER(Data!K13)),100*Data!K12/Data!K13,"")</f>
        <v/>
      </c>
    </row>
    <row r="8">
      <c r="A8" s="14" t="inlineStr">
        <is>
          <t>Deflator, exports (base year = 100)</t>
        </is>
      </c>
      <c r="B8" s="15" t="inlineStr">
        <is>
          <t>100 x current / constant</t>
        </is>
      </c>
      <c r="C8" s="16">
        <f>IF(AND(ISNUMBER(Data!F16),ISNUMBER(Data!F17)),100*Data!F16/Data!F17,"")</f>
        <v/>
      </c>
      <c r="D8" s="16">
        <f>IF(AND(ISNUMBER(Data!G16),ISNUMBER(Data!G17)),100*Data!G16/Data!G17,"")</f>
        <v/>
      </c>
      <c r="E8" s="16">
        <f>IF(AND(ISNUMBER(Data!H16),ISNUMBER(Data!H17)),100*Data!H16/Data!H17,"")</f>
        <v/>
      </c>
      <c r="F8" s="16">
        <f>IF(AND(ISNUMBER(Data!I16),ISNUMBER(Data!I17)),100*Data!I16/Data!I17,"")</f>
        <v/>
      </c>
      <c r="G8" s="16">
        <f>IF(AND(ISNUMBER(Data!J16),ISNUMBER(Data!J17)),100*Data!J16/Data!J17,"")</f>
        <v/>
      </c>
      <c r="H8" s="16">
        <f>IF(AND(ISNUMBER(Data!K16),ISNUMBER(Data!K17)),100*Data!K16/Data!K17,"")</f>
        <v/>
      </c>
    </row>
    <row r="9">
      <c r="A9" s="14" t="inlineStr">
        <is>
          <t>Deflator, imports (base year = 100)</t>
        </is>
      </c>
      <c r="B9" s="15" t="inlineStr">
        <is>
          <t>100 x current / constant</t>
        </is>
      </c>
      <c r="C9" s="16">
        <f>IF(AND(ISNUMBER(Data!F18),ISNUMBER(Data!F19)),100*Data!F18/Data!F19,"")</f>
        <v/>
      </c>
      <c r="D9" s="16">
        <f>IF(AND(ISNUMBER(Data!G18),ISNUMBER(Data!G19)),100*Data!G18/Data!G19,"")</f>
        <v/>
      </c>
      <c r="E9" s="16">
        <f>IF(AND(ISNUMBER(Data!H18),ISNUMBER(Data!H19)),100*Data!H18/Data!H19,"")</f>
        <v/>
      </c>
      <c r="F9" s="16">
        <f>IF(AND(ISNUMBER(Data!I18),ISNUMBER(Data!I19)),100*Data!I18/Data!I19,"")</f>
        <v/>
      </c>
      <c r="G9" s="16">
        <f>IF(AND(ISNUMBER(Data!J18),ISNUMBER(Data!J19)),100*Data!J18/Data!J19,"")</f>
        <v/>
      </c>
      <c r="H9" s="16">
        <f>IF(AND(ISNUMBER(Data!K18),ISNUMBER(Data!K19)),100*Data!K18/Data!K19,"")</f>
        <v/>
      </c>
    </row>
    <row r="10">
      <c r="A10" s="14" t="inlineStr">
        <is>
          <t>Deflator, agriculture VA (base year = 100)</t>
        </is>
      </c>
      <c r="B10" s="15" t="inlineStr">
        <is>
          <t>100 x current / constant</t>
        </is>
      </c>
      <c r="C10" s="16">
        <f>IF(AND(ISNUMBER(Data!F20),ISNUMBER(Data!F21)),100*Data!F20/Data!F21,"")</f>
        <v/>
      </c>
      <c r="D10" s="16">
        <f>IF(AND(ISNUMBER(Data!G20),ISNUMBER(Data!G21)),100*Data!G20/Data!G21,"")</f>
        <v/>
      </c>
      <c r="E10" s="16">
        <f>IF(AND(ISNUMBER(Data!H20),ISNUMBER(Data!H21)),100*Data!H20/Data!H21,"")</f>
        <v/>
      </c>
      <c r="F10" s="16">
        <f>IF(AND(ISNUMBER(Data!I20),ISNUMBER(Data!I21)),100*Data!I20/Data!I21,"")</f>
        <v/>
      </c>
      <c r="G10" s="16">
        <f>IF(AND(ISNUMBER(Data!J20),ISNUMBER(Data!J21)),100*Data!J20/Data!J21,"")</f>
        <v/>
      </c>
      <c r="H10" s="16">
        <f>IF(AND(ISNUMBER(Data!K20),ISNUMBER(Data!K21)),100*Data!K20/Data!K21,"")</f>
        <v/>
      </c>
    </row>
    <row r="11">
      <c r="A11" s="14" t="inlineStr">
        <is>
          <t>Deflator, industry VA (base year = 100)</t>
        </is>
      </c>
      <c r="B11" s="15" t="inlineStr">
        <is>
          <t>100 x current / constant</t>
        </is>
      </c>
      <c r="C11" s="16">
        <f>IF(AND(ISNUMBER(Data!F22),ISNUMBER(Data!F23)),100*Data!F22/Data!F23,"")</f>
        <v/>
      </c>
      <c r="D11" s="16">
        <f>IF(AND(ISNUMBER(Data!G22),ISNUMBER(Data!G23)),100*Data!G22/Data!G23,"")</f>
        <v/>
      </c>
      <c r="E11" s="16">
        <f>IF(AND(ISNUMBER(Data!H22),ISNUMBER(Data!H23)),100*Data!H22/Data!H23,"")</f>
        <v/>
      </c>
      <c r="F11" s="16">
        <f>IF(AND(ISNUMBER(Data!I22),ISNUMBER(Data!I23)),100*Data!I22/Data!I23,"")</f>
        <v/>
      </c>
      <c r="G11" s="16">
        <f>IF(AND(ISNUMBER(Data!J22),ISNUMBER(Data!J23)),100*Data!J22/Data!J23,"")</f>
        <v/>
      </c>
      <c r="H11" s="16">
        <f>IF(AND(ISNUMBER(Data!K22),ISNUMBER(Data!K23)),100*Data!K22/Data!K23,"")</f>
        <v/>
      </c>
    </row>
    <row r="12">
      <c r="A12" s="14" t="inlineStr">
        <is>
          <t>Deflator, services VA (base year = 100)</t>
        </is>
      </c>
      <c r="B12" s="15" t="inlineStr">
        <is>
          <t>100 x current / constant</t>
        </is>
      </c>
      <c r="C12" s="16">
        <f>IF(AND(ISNUMBER(Data!F26),ISNUMBER(Data!F27)),100*Data!F26/Data!F27,"")</f>
        <v/>
      </c>
      <c r="D12" s="16">
        <f>IF(AND(ISNUMBER(Data!G26),ISNUMBER(Data!G27)),100*Data!G26/Data!G27,"")</f>
        <v/>
      </c>
      <c r="E12" s="16">
        <f>IF(AND(ISNUMBER(Data!H26),ISNUMBER(Data!H27)),100*Data!H26/Data!H27,"")</f>
        <v/>
      </c>
      <c r="F12" s="16">
        <f>IF(AND(ISNUMBER(Data!I26),ISNUMBER(Data!I27)),100*Data!I26/Data!I27,"")</f>
        <v/>
      </c>
      <c r="G12" s="16">
        <f>IF(AND(ISNUMBER(Data!J26),ISNUMBER(Data!J27)),100*Data!J26/Data!J27,"")</f>
        <v/>
      </c>
      <c r="H12" s="16">
        <f>IF(AND(ISNUMBER(Data!K26),ISNUMBER(Data!K27)),100*Data!K26/Data!K27,"")</f>
        <v/>
      </c>
    </row>
    <row r="13">
      <c r="A13" s="14" t="inlineStr">
        <is>
          <t>Growth, real GDP (%)</t>
        </is>
      </c>
      <c r="B13" s="15" t="inlineStr">
        <is>
          <t>constant prices, year on year</t>
        </is>
      </c>
      <c r="C13" s="16" t="inlineStr"/>
      <c r="D13" s="16">
        <f>IF(AND(ISNUMBER(Data!G7),ISNUMBER(Data!F7)),100*(Data!G7/Data!F7-1),"")</f>
        <v/>
      </c>
      <c r="E13" s="16">
        <f>IF(AND(ISNUMBER(Data!H7),ISNUMBER(Data!G7)),100*(Data!H7/Data!G7-1),"")</f>
        <v/>
      </c>
      <c r="F13" s="16">
        <f>IF(AND(ISNUMBER(Data!I7),ISNUMBER(Data!H7)),100*(Data!I7/Data!H7-1),"")</f>
        <v/>
      </c>
      <c r="G13" s="16">
        <f>IF(AND(ISNUMBER(Data!J7),ISNUMBER(Data!I7)),100*(Data!J7/Data!I7-1),"")</f>
        <v/>
      </c>
      <c r="H13" s="16">
        <f>IF(AND(ISNUMBER(Data!K7),ISNUMBER(Data!J7)),100*(Data!K7/Data!J7-1),"")</f>
        <v/>
      </c>
    </row>
    <row r="14">
      <c r="A14" s="14" t="inlineStr">
        <is>
          <t>Growth, real agriculture VA (%)</t>
        </is>
      </c>
      <c r="B14" s="15" t="inlineStr">
        <is>
          <t>constant prices, year on year</t>
        </is>
      </c>
      <c r="C14" s="16" t="inlineStr"/>
      <c r="D14" s="16">
        <f>IF(AND(ISNUMBER(Data!G21),ISNUMBER(Data!F21)),100*(Data!G21/Data!F21-1),"")</f>
        <v/>
      </c>
      <c r="E14" s="16">
        <f>IF(AND(ISNUMBER(Data!H21),ISNUMBER(Data!G21)),100*(Data!H21/Data!G21-1),"")</f>
        <v/>
      </c>
      <c r="F14" s="16">
        <f>IF(AND(ISNUMBER(Data!I21),ISNUMBER(Data!H21)),100*(Data!I21/Data!H21-1),"")</f>
        <v/>
      </c>
      <c r="G14" s="16">
        <f>IF(AND(ISNUMBER(Data!J21),ISNUMBER(Data!I21)),100*(Data!J21/Data!I21-1),"")</f>
        <v/>
      </c>
      <c r="H14" s="16">
        <f>IF(AND(ISNUMBER(Data!K21),ISNUMBER(Data!J21)),100*(Data!K21/Data!J21-1),"")</f>
        <v/>
      </c>
    </row>
    <row r="15">
      <c r="A15" s="14" t="inlineStr">
        <is>
          <t>Growth, real industry VA (%)</t>
        </is>
      </c>
      <c r="B15" s="15" t="inlineStr">
        <is>
          <t>constant prices, year on year</t>
        </is>
      </c>
      <c r="C15" s="16" t="inlineStr"/>
      <c r="D15" s="16">
        <f>IF(AND(ISNUMBER(Data!G23),ISNUMBER(Data!F23)),100*(Data!G23/Data!F23-1),"")</f>
        <v/>
      </c>
      <c r="E15" s="16">
        <f>IF(AND(ISNUMBER(Data!H23),ISNUMBER(Data!G23)),100*(Data!H23/Data!G23-1),"")</f>
        <v/>
      </c>
      <c r="F15" s="16">
        <f>IF(AND(ISNUMBER(Data!I23),ISNUMBER(Data!H23)),100*(Data!I23/Data!H23-1),"")</f>
        <v/>
      </c>
      <c r="G15" s="16">
        <f>IF(AND(ISNUMBER(Data!J23),ISNUMBER(Data!I23)),100*(Data!J23/Data!I23-1),"")</f>
        <v/>
      </c>
      <c r="H15" s="16">
        <f>IF(AND(ISNUMBER(Data!K23),ISNUMBER(Data!J23)),100*(Data!K23/Data!J23-1),"")</f>
        <v/>
      </c>
    </row>
    <row r="16">
      <c r="A16" s="14" t="inlineStr">
        <is>
          <t>Growth, real manufacturing VA (%)</t>
        </is>
      </c>
      <c r="B16" s="15" t="inlineStr">
        <is>
          <t>constant prices, year on year</t>
        </is>
      </c>
      <c r="C16" s="16" t="inlineStr"/>
      <c r="D16" s="16">
        <f>IF(AND(ISNUMBER(Data!G25),ISNUMBER(Data!F25)),100*(Data!G25/Data!F25-1),"")</f>
        <v/>
      </c>
      <c r="E16" s="16">
        <f>IF(AND(ISNUMBER(Data!H25),ISNUMBER(Data!G25)),100*(Data!H25/Data!G25-1),"")</f>
        <v/>
      </c>
      <c r="F16" s="16">
        <f>IF(AND(ISNUMBER(Data!I25),ISNUMBER(Data!H25)),100*(Data!I25/Data!H25-1),"")</f>
        <v/>
      </c>
      <c r="G16" s="16">
        <f>IF(AND(ISNUMBER(Data!J25),ISNUMBER(Data!I25)),100*(Data!J25/Data!I25-1),"")</f>
        <v/>
      </c>
      <c r="H16" s="16">
        <f>IF(AND(ISNUMBER(Data!K25),ISNUMBER(Data!J25)),100*(Data!K25/Data!J25-1),"")</f>
        <v/>
      </c>
    </row>
    <row r="17">
      <c r="A17" s="14" t="inlineStr">
        <is>
          <t>Growth, real services VA (%)</t>
        </is>
      </c>
      <c r="B17" s="15" t="inlineStr">
        <is>
          <t>constant prices, year on year</t>
        </is>
      </c>
      <c r="C17" s="16" t="inlineStr"/>
      <c r="D17" s="16">
        <f>IF(AND(ISNUMBER(Data!G27),ISNUMBER(Data!F27)),100*(Data!G27/Data!F27-1),"")</f>
        <v/>
      </c>
      <c r="E17" s="16">
        <f>IF(AND(ISNUMBER(Data!H27),ISNUMBER(Data!G27)),100*(Data!H27/Data!G27-1),"")</f>
        <v/>
      </c>
      <c r="F17" s="16">
        <f>IF(AND(ISNUMBER(Data!I27),ISNUMBER(Data!H27)),100*(Data!I27/Data!H27-1),"")</f>
        <v/>
      </c>
      <c r="G17" s="16">
        <f>IF(AND(ISNUMBER(Data!J27),ISNUMBER(Data!I27)),100*(Data!J27/Data!I27-1),"")</f>
        <v/>
      </c>
      <c r="H17" s="16">
        <f>IF(AND(ISNUMBER(Data!K27),ISNUMBER(Data!J27)),100*(Data!K27/Data!J27-1),"")</f>
        <v/>
      </c>
    </row>
    <row r="18">
      <c r="A18" s="14" t="inlineStr">
        <is>
          <t>Growth, real private consumption (%)</t>
        </is>
      </c>
      <c r="B18" s="15" t="inlineStr">
        <is>
          <t>constant prices, year on year</t>
        </is>
      </c>
      <c r="C18" s="16" t="inlineStr"/>
      <c r="D18" s="16">
        <f>IF(AND(ISNUMBER(Data!G9),ISNUMBER(Data!F9)),100*(Data!G9/Data!F9-1),"")</f>
        <v/>
      </c>
      <c r="E18" s="16">
        <f>IF(AND(ISNUMBER(Data!H9),ISNUMBER(Data!G9)),100*(Data!H9/Data!G9-1),"")</f>
        <v/>
      </c>
      <c r="F18" s="16">
        <f>IF(AND(ISNUMBER(Data!I9),ISNUMBER(Data!H9)),100*(Data!I9/Data!H9-1),"")</f>
        <v/>
      </c>
      <c r="G18" s="16">
        <f>IF(AND(ISNUMBER(Data!J9),ISNUMBER(Data!I9)),100*(Data!J9/Data!I9-1),"")</f>
        <v/>
      </c>
      <c r="H18" s="16">
        <f>IF(AND(ISNUMBER(Data!K9),ISNUMBER(Data!J9)),100*(Data!K9/Data!J9-1),"")</f>
        <v/>
      </c>
    </row>
    <row r="19">
      <c r="A19" s="14" t="inlineStr">
        <is>
          <t>Growth, real government consumption (%)</t>
        </is>
      </c>
      <c r="B19" s="15" t="inlineStr">
        <is>
          <t>constant prices, year on year</t>
        </is>
      </c>
      <c r="C19" s="16" t="inlineStr"/>
      <c r="D19" s="16">
        <f>IF(AND(ISNUMBER(Data!G11),ISNUMBER(Data!F11)),100*(Data!G11/Data!F11-1),"")</f>
        <v/>
      </c>
      <c r="E19" s="16">
        <f>IF(AND(ISNUMBER(Data!H11),ISNUMBER(Data!G11)),100*(Data!H11/Data!G11-1),"")</f>
        <v/>
      </c>
      <c r="F19" s="16">
        <f>IF(AND(ISNUMBER(Data!I11),ISNUMBER(Data!H11)),100*(Data!I11/Data!H11-1),"")</f>
        <v/>
      </c>
      <c r="G19" s="16">
        <f>IF(AND(ISNUMBER(Data!J11),ISNUMBER(Data!I11)),100*(Data!J11/Data!I11-1),"")</f>
        <v/>
      </c>
      <c r="H19" s="16">
        <f>IF(AND(ISNUMBER(Data!K11),ISNUMBER(Data!J11)),100*(Data!K11/Data!J11-1),"")</f>
        <v/>
      </c>
    </row>
    <row r="20">
      <c r="A20" s="14" t="inlineStr">
        <is>
          <t>Growth, real GFCF (%)</t>
        </is>
      </c>
      <c r="B20" s="15" t="inlineStr">
        <is>
          <t>constant prices, year on year</t>
        </is>
      </c>
      <c r="C20" s="16" t="inlineStr"/>
      <c r="D20" s="16">
        <f>IF(AND(ISNUMBER(Data!G13),ISNUMBER(Data!F13)),100*(Data!G13/Data!F13-1),"")</f>
        <v/>
      </c>
      <c r="E20" s="16">
        <f>IF(AND(ISNUMBER(Data!H13),ISNUMBER(Data!G13)),100*(Data!H13/Data!G13-1),"")</f>
        <v/>
      </c>
      <c r="F20" s="16">
        <f>IF(AND(ISNUMBER(Data!I13),ISNUMBER(Data!H13)),100*(Data!I13/Data!H13-1),"")</f>
        <v/>
      </c>
      <c r="G20" s="16">
        <f>IF(AND(ISNUMBER(Data!J13),ISNUMBER(Data!I13)),100*(Data!J13/Data!I13-1),"")</f>
        <v/>
      </c>
      <c r="H20" s="16">
        <f>IF(AND(ISNUMBER(Data!K13),ISNUMBER(Data!J13)),100*(Data!K13/Data!J13-1),"")</f>
        <v/>
      </c>
    </row>
    <row r="21">
      <c r="A21" s="14" t="inlineStr">
        <is>
          <t>Growth, real exports (%)</t>
        </is>
      </c>
      <c r="B21" s="15" t="inlineStr">
        <is>
          <t>constant prices, year on year</t>
        </is>
      </c>
      <c r="C21" s="16" t="inlineStr"/>
      <c r="D21" s="16">
        <f>IF(AND(ISNUMBER(Data!G17),ISNUMBER(Data!F17)),100*(Data!G17/Data!F17-1),"")</f>
        <v/>
      </c>
      <c r="E21" s="16">
        <f>IF(AND(ISNUMBER(Data!H17),ISNUMBER(Data!G17)),100*(Data!H17/Data!G17-1),"")</f>
        <v/>
      </c>
      <c r="F21" s="16">
        <f>IF(AND(ISNUMBER(Data!I17),ISNUMBER(Data!H17)),100*(Data!I17/Data!H17-1),"")</f>
        <v/>
      </c>
      <c r="G21" s="16">
        <f>IF(AND(ISNUMBER(Data!J17),ISNUMBER(Data!I17)),100*(Data!J17/Data!I17-1),"")</f>
        <v/>
      </c>
      <c r="H21" s="16">
        <f>IF(AND(ISNUMBER(Data!K17),ISNUMBER(Data!J17)),100*(Data!K17/Data!J17-1),"")</f>
        <v/>
      </c>
    </row>
    <row r="22">
      <c r="A22" s="14" t="inlineStr">
        <is>
          <t>Growth, real imports (%)</t>
        </is>
      </c>
      <c r="B22" s="15" t="inlineStr">
        <is>
          <t>constant prices, year on year</t>
        </is>
      </c>
      <c r="C22" s="16" t="inlineStr"/>
      <c r="D22" s="16">
        <f>IF(AND(ISNUMBER(Data!G19),ISNUMBER(Data!F19)),100*(Data!G19/Data!F19-1),"")</f>
        <v/>
      </c>
      <c r="E22" s="16">
        <f>IF(AND(ISNUMBER(Data!H19),ISNUMBER(Data!G19)),100*(Data!H19/Data!G19-1),"")</f>
        <v/>
      </c>
      <c r="F22" s="16">
        <f>IF(AND(ISNUMBER(Data!I19),ISNUMBER(Data!H19)),100*(Data!I19/Data!H19-1),"")</f>
        <v/>
      </c>
      <c r="G22" s="16">
        <f>IF(AND(ISNUMBER(Data!J19),ISNUMBER(Data!I19)),100*(Data!J19/Data!I19-1),"")</f>
        <v/>
      </c>
      <c r="H22" s="16">
        <f>IF(AND(ISNUMBER(Data!K19),ISNUMBER(Data!J19)),100*(Data!K19/Data!J19-1),"")</f>
        <v/>
      </c>
    </row>
    <row r="23">
      <c r="A23" s="14" t="inlineStr">
        <is>
          <t>Share of GDP, private consumption (%)</t>
        </is>
      </c>
      <c r="B23" s="15" t="inlineStr">
        <is>
          <t>current prices</t>
        </is>
      </c>
      <c r="C23" s="16">
        <f>IF(AND(ISNUMBER(Data!F8),ISNUMBER(Data!F6)),100*Data!F8/Data!F6,"")</f>
        <v/>
      </c>
      <c r="D23" s="16">
        <f>IF(AND(ISNUMBER(Data!G8),ISNUMBER(Data!G6)),100*Data!G8/Data!G6,"")</f>
        <v/>
      </c>
      <c r="E23" s="16">
        <f>IF(AND(ISNUMBER(Data!H8),ISNUMBER(Data!H6)),100*Data!H8/Data!H6,"")</f>
        <v/>
      </c>
      <c r="F23" s="16">
        <f>IF(AND(ISNUMBER(Data!I8),ISNUMBER(Data!I6)),100*Data!I8/Data!I6,"")</f>
        <v/>
      </c>
      <c r="G23" s="16">
        <f>IF(AND(ISNUMBER(Data!J8),ISNUMBER(Data!J6)),100*Data!J8/Data!J6,"")</f>
        <v/>
      </c>
      <c r="H23" s="16">
        <f>IF(AND(ISNUMBER(Data!K8),ISNUMBER(Data!K6)),100*Data!K8/Data!K6,"")</f>
        <v/>
      </c>
    </row>
    <row r="24">
      <c r="A24" s="14" t="inlineStr">
        <is>
          <t>Share of GDP, government consumption (%)</t>
        </is>
      </c>
      <c r="B24" s="15" t="inlineStr">
        <is>
          <t>current prices</t>
        </is>
      </c>
      <c r="C24" s="16">
        <f>IF(AND(ISNUMBER(Data!F10),ISNUMBER(Data!F6)),100*Data!F10/Data!F6,"")</f>
        <v/>
      </c>
      <c r="D24" s="16">
        <f>IF(AND(ISNUMBER(Data!G10),ISNUMBER(Data!G6)),100*Data!G10/Data!G6,"")</f>
        <v/>
      </c>
      <c r="E24" s="16">
        <f>IF(AND(ISNUMBER(Data!H10),ISNUMBER(Data!H6)),100*Data!H10/Data!H6,"")</f>
        <v/>
      </c>
      <c r="F24" s="16">
        <f>IF(AND(ISNUMBER(Data!I10),ISNUMBER(Data!I6)),100*Data!I10/Data!I6,"")</f>
        <v/>
      </c>
      <c r="G24" s="16">
        <f>IF(AND(ISNUMBER(Data!J10),ISNUMBER(Data!J6)),100*Data!J10/Data!J6,"")</f>
        <v/>
      </c>
      <c r="H24" s="16">
        <f>IF(AND(ISNUMBER(Data!K10),ISNUMBER(Data!K6)),100*Data!K10/Data!K6,"")</f>
        <v/>
      </c>
    </row>
    <row r="25">
      <c r="A25" s="14" t="inlineStr">
        <is>
          <t>Share of GDP, GFCF (%)</t>
        </is>
      </c>
      <c r="B25" s="15" t="inlineStr">
        <is>
          <t>current prices</t>
        </is>
      </c>
      <c r="C25" s="16">
        <f>IF(AND(ISNUMBER(Data!F12),ISNUMBER(Data!F6)),100*Data!F12/Data!F6,"")</f>
        <v/>
      </c>
      <c r="D25" s="16">
        <f>IF(AND(ISNUMBER(Data!G12),ISNUMBER(Data!G6)),100*Data!G12/Data!G6,"")</f>
        <v/>
      </c>
      <c r="E25" s="16">
        <f>IF(AND(ISNUMBER(Data!H12),ISNUMBER(Data!H6)),100*Data!H12/Data!H6,"")</f>
        <v/>
      </c>
      <c r="F25" s="16">
        <f>IF(AND(ISNUMBER(Data!I12),ISNUMBER(Data!I6)),100*Data!I12/Data!I6,"")</f>
        <v/>
      </c>
      <c r="G25" s="16">
        <f>IF(AND(ISNUMBER(Data!J12),ISNUMBER(Data!J6)),100*Data!J12/Data!J6,"")</f>
        <v/>
      </c>
      <c r="H25" s="16">
        <f>IF(AND(ISNUMBER(Data!K12),ISNUMBER(Data!K6)),100*Data!K12/Data!K6,"")</f>
        <v/>
      </c>
    </row>
    <row r="26">
      <c r="A26" s="14" t="inlineStr">
        <is>
          <t>Share of GDP, exports (%)</t>
        </is>
      </c>
      <c r="B26" s="15" t="inlineStr">
        <is>
          <t>current prices</t>
        </is>
      </c>
      <c r="C26" s="16">
        <f>IF(AND(ISNUMBER(Data!F16),ISNUMBER(Data!F6)),100*Data!F16/Data!F6,"")</f>
        <v/>
      </c>
      <c r="D26" s="16">
        <f>IF(AND(ISNUMBER(Data!G16),ISNUMBER(Data!G6)),100*Data!G16/Data!G6,"")</f>
        <v/>
      </c>
      <c r="E26" s="16">
        <f>IF(AND(ISNUMBER(Data!H16),ISNUMBER(Data!H6)),100*Data!H16/Data!H6,"")</f>
        <v/>
      </c>
      <c r="F26" s="16">
        <f>IF(AND(ISNUMBER(Data!I16),ISNUMBER(Data!I6)),100*Data!I16/Data!I6,"")</f>
        <v/>
      </c>
      <c r="G26" s="16">
        <f>IF(AND(ISNUMBER(Data!J16),ISNUMBER(Data!J6)),100*Data!J16/Data!J6,"")</f>
        <v/>
      </c>
      <c r="H26" s="16">
        <f>IF(AND(ISNUMBER(Data!K16),ISNUMBER(Data!K6)),100*Data!K16/Data!K6,"")</f>
        <v/>
      </c>
    </row>
    <row r="27">
      <c r="A27" s="14" t="inlineStr">
        <is>
          <t>Share of GDP, imports (%)</t>
        </is>
      </c>
      <c r="B27" s="15" t="inlineStr">
        <is>
          <t>current prices</t>
        </is>
      </c>
      <c r="C27" s="16">
        <f>IF(AND(ISNUMBER(Data!F18),ISNUMBER(Data!F6)),100*Data!F18/Data!F6,"")</f>
        <v/>
      </c>
      <c r="D27" s="16">
        <f>IF(AND(ISNUMBER(Data!G18),ISNUMBER(Data!G6)),100*Data!G18/Data!G6,"")</f>
        <v/>
      </c>
      <c r="E27" s="16">
        <f>IF(AND(ISNUMBER(Data!H18),ISNUMBER(Data!H6)),100*Data!H18/Data!H6,"")</f>
        <v/>
      </c>
      <c r="F27" s="16">
        <f>IF(AND(ISNUMBER(Data!I18),ISNUMBER(Data!I6)),100*Data!I18/Data!I6,"")</f>
        <v/>
      </c>
      <c r="G27" s="16">
        <f>IF(AND(ISNUMBER(Data!J18),ISNUMBER(Data!J6)),100*Data!J18/Data!J6,"")</f>
        <v/>
      </c>
      <c r="H27" s="16">
        <f>IF(AND(ISNUMBER(Data!K18),ISNUMBER(Data!K6)),100*Data!K18/Data!K6,"")</f>
        <v/>
      </c>
    </row>
    <row r="28">
      <c r="A28" s="14" t="inlineStr">
        <is>
          <t>GDP identity residual, current (% of GDP)</t>
        </is>
      </c>
      <c r="B28" s="15" t="inlineStr">
        <is>
          <t>GDP - C - G - GFCF - X + M; = stocks + discrepancy, should be small</t>
        </is>
      </c>
      <c r="C28" s="16">
        <f>IF(AND(ISNUMBER(Data!F6),ISNUMBER(Data!F8),ISNUMBER(Data!F10),ISNUMBER(Data!F12),ISNUMBER(Data!F16),ISNUMBER(Data!F18)),100*(Data!F6-Data!F8-Data!F10-Data!F12-Data!F16+Data!F18)/Data!F6,"")</f>
        <v/>
      </c>
      <c r="D28" s="16">
        <f>IF(AND(ISNUMBER(Data!G6),ISNUMBER(Data!G8),ISNUMBER(Data!G10),ISNUMBER(Data!G12),ISNUMBER(Data!G16),ISNUMBER(Data!G18)),100*(Data!G6-Data!G8-Data!G10-Data!G12-Data!G16+Data!G18)/Data!G6,"")</f>
        <v/>
      </c>
      <c r="E28" s="16">
        <f>IF(AND(ISNUMBER(Data!H6),ISNUMBER(Data!H8),ISNUMBER(Data!H10),ISNUMBER(Data!H12),ISNUMBER(Data!H16),ISNUMBER(Data!H18)),100*(Data!H6-Data!H8-Data!H10-Data!H12-Data!H16+Data!H18)/Data!H6,"")</f>
        <v/>
      </c>
      <c r="F28" s="16">
        <f>IF(AND(ISNUMBER(Data!I6),ISNUMBER(Data!I8),ISNUMBER(Data!I10),ISNUMBER(Data!I12),ISNUMBER(Data!I16),ISNUMBER(Data!I18)),100*(Data!I6-Data!I8-Data!I10-Data!I12-Data!I16+Data!I18)/Data!I6,"")</f>
        <v/>
      </c>
      <c r="G28" s="16">
        <f>IF(AND(ISNUMBER(Data!J6),ISNUMBER(Data!J8),ISNUMBER(Data!J10),ISNUMBER(Data!J12),ISNUMBER(Data!J16),ISNUMBER(Data!J18)),100*(Data!J6-Data!J8-Data!J10-Data!J12-Data!J16+Data!J18)/Data!J6,"")</f>
        <v/>
      </c>
      <c r="H28" s="16">
        <f>IF(AND(ISNUMBER(Data!K6),ISNUMBER(Data!K8),ISNUMBER(Data!K10),ISNUMBER(Data!K12),ISNUMBER(Data!K16),ISNUMBER(Data!K18)),100*(Data!K6-Data!K8-Data!K10-Data!K12-Data!K16+Data!K18)/Data!K6,"")</f>
        <v/>
      </c>
    </row>
    <row r="29">
      <c r="A29" s="14" t="inlineStr">
        <is>
          <t>Sector VA as % of GDP, current</t>
        </is>
      </c>
      <c r="B29" s="15" t="inlineStr">
        <is>
          <t>(agriculture + industry + services) / GDP; the rest is net taxes</t>
        </is>
      </c>
      <c r="C29" s="16">
        <f>IF(AND(ISNUMBER(Data!F20),ISNUMBER(Data!F22),ISNUMBER(Data!F26),ISNUMBER(Data!F6)),100*(Data!F20+Data!F22+Data!F26)/Data!F6,"")</f>
        <v/>
      </c>
      <c r="D29" s="16">
        <f>IF(AND(ISNUMBER(Data!G20),ISNUMBER(Data!G22),ISNUMBER(Data!G26),ISNUMBER(Data!G6)),100*(Data!G20+Data!G22+Data!G26)/Data!G6,"")</f>
        <v/>
      </c>
      <c r="E29" s="16">
        <f>IF(AND(ISNUMBER(Data!H20),ISNUMBER(Data!H22),ISNUMBER(Data!H26),ISNUMBER(Data!H6)),100*(Data!H20+Data!H22+Data!H26)/Data!H6,"")</f>
        <v/>
      </c>
      <c r="F29" s="16">
        <f>IF(AND(ISNUMBER(Data!I20),ISNUMBER(Data!I22),ISNUMBER(Data!I26),ISNUMBER(Data!I6)),100*(Data!I20+Data!I22+Data!I26)/Data!I6,"")</f>
        <v/>
      </c>
      <c r="G29" s="16">
        <f>IF(AND(ISNUMBER(Data!J20),ISNUMBER(Data!J22),ISNUMBER(Data!J26),ISNUMBER(Data!J6)),100*(Data!J20+Data!J22+Data!J26)/Data!J6,"")</f>
        <v/>
      </c>
      <c r="H29" s="16">
        <f>IF(AND(ISNUMBER(Data!K20),ISNUMBER(Data!K22),ISNUMBER(Data!K26),ISNUMBER(Data!K6)),100*(Data!K20+Data!K22+Data!K26)/Data!K6,"")</f>
        <v/>
      </c>
    </row>
    <row r="30">
      <c r="A30" s="14" t="inlineStr">
        <is>
          <t>Petroleum share of official-rate FX (%)</t>
        </is>
      </c>
      <c r="B30" s="15" t="inlineStr">
        <is>
          <t>FXOFFF / FXOFF</t>
        </is>
      </c>
      <c r="C30" s="16">
        <f>IF(AND(ISNUMBER(Data!F29),ISNUMBER(Data!F28)),100*Data!F29/Data!F28,"")</f>
        <v/>
      </c>
      <c r="D30" s="16">
        <f>IF(AND(ISNUMBER(Data!G29),ISNUMBER(Data!G28)),100*Data!G29/Data!G28,"")</f>
        <v/>
      </c>
      <c r="E30" s="16">
        <f>IF(AND(ISNUMBER(Data!H29),ISNUMBER(Data!H28)),100*Data!H29/Data!H28,"")</f>
        <v/>
      </c>
      <c r="F30" s="16">
        <f>IF(AND(ISNUMBER(Data!I29),ISNUMBER(Data!I28)),100*Data!I29/Data!I28,"")</f>
        <v/>
      </c>
      <c r="G30" s="16">
        <f>IF(AND(ISNUMBER(Data!J29),ISNUMBER(Data!J28)),100*Data!J29/Data!J28,"")</f>
        <v/>
      </c>
      <c r="H30" s="16">
        <f>IF(AND(ISNUMBER(Data!K29),ISNUMBER(Data!K28)),100*Data!K29/Data!K28,"")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2026-09-28T20:45:42Z</dcterms:created>
  <dcterms:modified xmlns:dcterms="http://purl.org/dc/terms/" xmlns:xsi="http://www.w3.org/2001/XMLSchema-instance" xsi:type="dcterms:W3CDTF">2026-09-29T11:23:48Z</dcterms:modified>
</cp:coreProperties>
</file>